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gutgesell/LocalRepos/Wild Foods Repo/salmon_valuation/data/"/>
    </mc:Choice>
  </mc:AlternateContent>
  <xr:revisionPtr revIDLastSave="0" documentId="13_ncr:1_{21FA5CB6-8C2C-3548-B189-7F512CC5E80C}" xr6:coauthVersionLast="47" xr6:coauthVersionMax="47" xr10:uidLastSave="{00000000-0000-0000-0000-000000000000}"/>
  <bookViews>
    <workbookView xWindow="780" yWindow="500" windowWidth="28020" windowHeight="16600" xr2:uid="{E1DB9463-C7E9-49BB-B3C5-5CFF4AD372E0}"/>
  </bookViews>
  <sheets>
    <sheet name="Harvest # Summary" sheetId="9" r:id="rId1"/>
    <sheet name="Harvest Statistics" sheetId="15" r:id="rId2"/>
    <sheet name="CombinedRAW" sheetId="3" r:id="rId3"/>
    <sheet name="ChugachRAW" sheetId="1" r:id="rId4"/>
    <sheet name="TongassRAW" sheetId="2" r:id="rId5"/>
    <sheet name="Commercial exvessel" sheetId="10" r:id="rId6"/>
    <sheet name="commercial_cpi" sheetId="16" r:id="rId7"/>
    <sheet name="Commercial" sheetId="8" r:id="rId8"/>
    <sheet name="Sport" sheetId="4" r:id="rId9"/>
    <sheet name="Subsistence" sheetId="5" r:id="rId10"/>
    <sheet name="Personal Use" sheetId="6" r:id="rId11"/>
    <sheet name="Personal Use + Subsistence" sheetId="14" r:id="rId12"/>
    <sheet name="Resale Values" sheetId="12" r:id="rId13"/>
    <sheet name="Forest Summary" sheetId="11" r:id="rId14"/>
  </sheets>
  <definedNames>
    <definedName name="_xlchart.v1.0" hidden="1">'Harvest # Summary'!$A$2:$B$18</definedName>
    <definedName name="_xlchart.v1.1" hidden="1">'Harvest # Summary'!$C$1</definedName>
    <definedName name="_xlchart.v1.10" hidden="1">'Harvest # Summary'!$G$2:$G$18</definedName>
    <definedName name="_xlchart.v1.11" hidden="1">'Harvest # Summary'!$H$1</definedName>
    <definedName name="_xlchart.v1.12" hidden="1">'Harvest # Summary'!$H$2:$H$18</definedName>
    <definedName name="_xlchart.v1.13" hidden="1">'Harvest # Summary'!$I$1</definedName>
    <definedName name="_xlchart.v1.14" hidden="1">'Harvest # Summary'!$I$2:$I$18</definedName>
    <definedName name="_xlchart.v1.15" hidden="1">'Harvest # Summary'!$J$1</definedName>
    <definedName name="_xlchart.v1.16" hidden="1">'Harvest # Summary'!$J$2:$J$18</definedName>
    <definedName name="_xlchart.v1.17" hidden="1">'Harvest # Summary'!$K$1</definedName>
    <definedName name="_xlchart.v1.18" hidden="1">'Harvest # Summary'!$K$2:$K$18</definedName>
    <definedName name="_xlchart.v1.19" hidden="1">'Harvest # Summary'!$G$3:$G$12</definedName>
    <definedName name="_xlchart.v1.2" hidden="1">'Harvest # Summary'!$C$2:$C$18</definedName>
    <definedName name="_xlchart.v1.20" hidden="1">'Harvest # Summary'!$H$3:$H$12</definedName>
    <definedName name="_xlchart.v1.21" hidden="1">'Harvest # Summary'!$E$3:$E$12</definedName>
    <definedName name="_xlchart.v1.22" hidden="1">'Harvest # Summary'!$F$3:$F$12</definedName>
    <definedName name="_xlchart.v1.23" hidden="1">'Harvest # Summary'!$B$3:$B$12</definedName>
    <definedName name="_xlchart.v1.24" hidden="1">'Harvest # Summary'!$C$3:$C$12</definedName>
    <definedName name="_xlchart.v1.25" hidden="1">'Harvest # Summary'!$D$3:$D$12</definedName>
    <definedName name="_xlchart.v1.26" hidden="1">'Harvest # Summary'!$C$2</definedName>
    <definedName name="_xlchart.v1.27" hidden="1">'Harvest # Summary'!$C$3:$C$12</definedName>
    <definedName name="_xlchart.v1.28" hidden="1">'Harvest # Summary'!$C$3:$C$13</definedName>
    <definedName name="_xlchart.v1.29" hidden="1">'Harvest # Summary'!$D$2</definedName>
    <definedName name="_xlchart.v1.3" hidden="1">'Harvest # Summary'!$D$1</definedName>
    <definedName name="_xlchart.v1.30" hidden="1">'Harvest # Summary'!$D$3:$D$12</definedName>
    <definedName name="_xlchart.v1.31" hidden="1">'Harvest # Summary'!$D$3:$D$13</definedName>
    <definedName name="_xlchart.v1.32" hidden="1">'Harvest # Summary'!$C$2</definedName>
    <definedName name="_xlchart.v1.33" hidden="1">'Harvest # Summary'!$C$3:$C$13</definedName>
    <definedName name="_xlchart.v1.34" hidden="1">'Harvest # Summary'!$D$2</definedName>
    <definedName name="_xlchart.v1.35" hidden="1">'Harvest # Summary'!$D$3:$D$13</definedName>
    <definedName name="_xlchart.v1.4" hidden="1">'Harvest # Summary'!$D$2:$D$18</definedName>
    <definedName name="_xlchart.v1.5" hidden="1">'Harvest # Summary'!$E$1</definedName>
    <definedName name="_xlchart.v1.6" hidden="1">'Harvest # Summary'!$E$2:$E$18</definedName>
    <definedName name="_xlchart.v1.7" hidden="1">'Harvest # Summary'!$F$1</definedName>
    <definedName name="_xlchart.v1.8" hidden="1">'Harvest # Summary'!$F$2:$F$18</definedName>
    <definedName name="_xlchart.v1.9" hidden="1">'Harvest # Summary'!$G$1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5" l="1"/>
  <c r="C26" i="15"/>
  <c r="K13" i="9"/>
  <c r="C16" i="15"/>
  <c r="C17" i="15"/>
  <c r="C18" i="15"/>
  <c r="C19" i="15" s="1"/>
  <c r="N15" i="15"/>
  <c r="O15" i="15"/>
  <c r="P15" i="15"/>
  <c r="M15" i="15"/>
  <c r="H15" i="15"/>
  <c r="I15" i="15"/>
  <c r="J15" i="15"/>
  <c r="G15" i="15"/>
  <c r="D14" i="15"/>
  <c r="C14" i="15"/>
  <c r="H7" i="9"/>
  <c r="O14" i="15"/>
  <c r="P14" i="15"/>
  <c r="P4" i="15"/>
  <c r="P5" i="15"/>
  <c r="P6" i="15"/>
  <c r="P7" i="15"/>
  <c r="P8" i="15"/>
  <c r="P9" i="15"/>
  <c r="P10" i="15"/>
  <c r="P11" i="15"/>
  <c r="P12" i="15"/>
  <c r="P13" i="15"/>
  <c r="O5" i="15"/>
  <c r="O6" i="15"/>
  <c r="O7" i="15"/>
  <c r="O8" i="15"/>
  <c r="O9" i="15"/>
  <c r="O10" i="15"/>
  <c r="O11" i="15"/>
  <c r="O12" i="15"/>
  <c r="O13" i="15"/>
  <c r="O4" i="15"/>
  <c r="N4" i="15"/>
  <c r="N5" i="15"/>
  <c r="N6" i="15"/>
  <c r="N7" i="15"/>
  <c r="N8" i="15"/>
  <c r="N9" i="15"/>
  <c r="N10" i="15"/>
  <c r="N11" i="15"/>
  <c r="N12" i="15"/>
  <c r="N13" i="15"/>
  <c r="M5" i="15"/>
  <c r="M6" i="15"/>
  <c r="M14" i="15" s="1"/>
  <c r="M7" i="15"/>
  <c r="M8" i="15"/>
  <c r="M9" i="15"/>
  <c r="M10" i="15"/>
  <c r="M11" i="15"/>
  <c r="M12" i="15"/>
  <c r="M13" i="15"/>
  <c r="M4" i="15"/>
  <c r="N14" i="15"/>
  <c r="I5" i="15"/>
  <c r="J5" i="15"/>
  <c r="I6" i="15"/>
  <c r="J6" i="15"/>
  <c r="I7" i="15"/>
  <c r="J7" i="15"/>
  <c r="I8" i="15"/>
  <c r="J8" i="15"/>
  <c r="I9" i="15"/>
  <c r="J9" i="15"/>
  <c r="I10" i="15"/>
  <c r="J10" i="15"/>
  <c r="I11" i="15"/>
  <c r="J11" i="15"/>
  <c r="I12" i="15"/>
  <c r="J12" i="15"/>
  <c r="I13" i="15"/>
  <c r="J13" i="15"/>
  <c r="I14" i="15"/>
  <c r="J14" i="15"/>
  <c r="J4" i="15"/>
  <c r="I4" i="15"/>
  <c r="G5" i="15"/>
  <c r="H5" i="15"/>
  <c r="G6" i="15"/>
  <c r="H6" i="15"/>
  <c r="G7" i="15"/>
  <c r="H7" i="15"/>
  <c r="G8" i="15"/>
  <c r="H8" i="15"/>
  <c r="G9" i="15"/>
  <c r="H9" i="15"/>
  <c r="G10" i="15"/>
  <c r="H10" i="15"/>
  <c r="G11" i="15"/>
  <c r="H11" i="15"/>
  <c r="G12" i="15"/>
  <c r="H12" i="15"/>
  <c r="G13" i="15"/>
  <c r="H13" i="15"/>
  <c r="H4" i="15"/>
  <c r="G4" i="15"/>
  <c r="E75" i="14" l="1"/>
  <c r="F75" i="14"/>
  <c r="G75" i="14"/>
  <c r="O75" i="14" s="1"/>
  <c r="H75" i="14"/>
  <c r="N75" i="14" s="1"/>
  <c r="I75" i="14"/>
  <c r="J75" i="14"/>
  <c r="K75" i="14"/>
  <c r="L75" i="14"/>
  <c r="L85" i="14" s="1"/>
  <c r="M75" i="14"/>
  <c r="E76" i="14"/>
  <c r="F76" i="14"/>
  <c r="G76" i="14"/>
  <c r="H76" i="14"/>
  <c r="I76" i="14"/>
  <c r="J76" i="14"/>
  <c r="K76" i="14"/>
  <c r="L76" i="14"/>
  <c r="M76" i="14"/>
  <c r="E77" i="14"/>
  <c r="F77" i="14"/>
  <c r="G77" i="14"/>
  <c r="H77" i="14"/>
  <c r="H85" i="14" s="1"/>
  <c r="I77" i="14"/>
  <c r="I85" i="14" s="1"/>
  <c r="J77" i="14"/>
  <c r="J85" i="14" s="1"/>
  <c r="K77" i="14"/>
  <c r="L77" i="14"/>
  <c r="M77" i="14"/>
  <c r="E78" i="14"/>
  <c r="O78" i="14" s="1"/>
  <c r="F78" i="14"/>
  <c r="G78" i="14"/>
  <c r="H78" i="14"/>
  <c r="I78" i="14"/>
  <c r="J78" i="14"/>
  <c r="K78" i="14"/>
  <c r="L78" i="14"/>
  <c r="M78" i="14"/>
  <c r="E79" i="14"/>
  <c r="F79" i="14"/>
  <c r="G79" i="14"/>
  <c r="H79" i="14"/>
  <c r="I79" i="14"/>
  <c r="J79" i="14"/>
  <c r="K79" i="14"/>
  <c r="O79" i="14" s="1"/>
  <c r="L79" i="14"/>
  <c r="N79" i="14" s="1"/>
  <c r="M79" i="14"/>
  <c r="E80" i="14"/>
  <c r="O80" i="14" s="1"/>
  <c r="F80" i="14"/>
  <c r="N80" i="14" s="1"/>
  <c r="G80" i="14"/>
  <c r="H80" i="14"/>
  <c r="I80" i="14"/>
  <c r="J80" i="14"/>
  <c r="K80" i="14"/>
  <c r="L80" i="14"/>
  <c r="M80" i="14"/>
  <c r="E81" i="14"/>
  <c r="O81" i="14" s="1"/>
  <c r="F81" i="14"/>
  <c r="F85" i="14" s="1"/>
  <c r="G81" i="14"/>
  <c r="H81" i="14"/>
  <c r="I81" i="14"/>
  <c r="J81" i="14"/>
  <c r="K81" i="14"/>
  <c r="L81" i="14"/>
  <c r="M81" i="14"/>
  <c r="E82" i="14"/>
  <c r="F82" i="14"/>
  <c r="G82" i="14"/>
  <c r="O82" i="14" s="1"/>
  <c r="H82" i="14"/>
  <c r="N82" i="14" s="1"/>
  <c r="I82" i="14"/>
  <c r="J82" i="14"/>
  <c r="K82" i="14"/>
  <c r="L82" i="14"/>
  <c r="M82" i="14"/>
  <c r="E83" i="14"/>
  <c r="O83" i="14" s="1"/>
  <c r="F83" i="14"/>
  <c r="N83" i="14" s="1"/>
  <c r="G83" i="14"/>
  <c r="H83" i="14"/>
  <c r="I83" i="14"/>
  <c r="J83" i="14"/>
  <c r="K83" i="14"/>
  <c r="L83" i="14"/>
  <c r="M83" i="14"/>
  <c r="E84" i="14"/>
  <c r="O84" i="14" s="1"/>
  <c r="F84" i="14"/>
  <c r="N84" i="14" s="1"/>
  <c r="G84" i="14"/>
  <c r="G85" i="14" s="1"/>
  <c r="H84" i="14"/>
  <c r="I84" i="14"/>
  <c r="J84" i="14"/>
  <c r="K84" i="14"/>
  <c r="L84" i="14"/>
  <c r="M84" i="14"/>
  <c r="D76" i="14"/>
  <c r="D77" i="14"/>
  <c r="D78" i="14"/>
  <c r="D79" i="14"/>
  <c r="D80" i="14"/>
  <c r="D81" i="14"/>
  <c r="D82" i="14"/>
  <c r="D83" i="14"/>
  <c r="D84" i="14"/>
  <c r="D75" i="14"/>
  <c r="E64" i="14"/>
  <c r="F64" i="14"/>
  <c r="G64" i="14"/>
  <c r="H64" i="14"/>
  <c r="I64" i="14"/>
  <c r="J64" i="14"/>
  <c r="K64" i="14"/>
  <c r="L64" i="14"/>
  <c r="M64" i="14"/>
  <c r="E65" i="14"/>
  <c r="F65" i="14"/>
  <c r="G65" i="14"/>
  <c r="H65" i="14"/>
  <c r="I65" i="14"/>
  <c r="J65" i="14"/>
  <c r="K65" i="14"/>
  <c r="L65" i="14"/>
  <c r="L74" i="14" s="1"/>
  <c r="M65" i="14"/>
  <c r="M74" i="14" s="1"/>
  <c r="E66" i="14"/>
  <c r="F66" i="14"/>
  <c r="G66" i="14"/>
  <c r="H66" i="14"/>
  <c r="H74" i="14" s="1"/>
  <c r="I66" i="14"/>
  <c r="O66" i="14" s="1"/>
  <c r="J66" i="14"/>
  <c r="J74" i="14" s="1"/>
  <c r="K66" i="14"/>
  <c r="K74" i="14" s="1"/>
  <c r="L66" i="14"/>
  <c r="M66" i="14"/>
  <c r="E67" i="14"/>
  <c r="O67" i="14" s="1"/>
  <c r="F67" i="14"/>
  <c r="G67" i="14"/>
  <c r="H67" i="14"/>
  <c r="I67" i="14"/>
  <c r="J67" i="14"/>
  <c r="K67" i="14"/>
  <c r="L67" i="14"/>
  <c r="M67" i="14"/>
  <c r="E68" i="14"/>
  <c r="F68" i="14"/>
  <c r="G68" i="14"/>
  <c r="H68" i="14"/>
  <c r="I68" i="14"/>
  <c r="J68" i="14"/>
  <c r="K68" i="14"/>
  <c r="O68" i="14" s="1"/>
  <c r="L68" i="14"/>
  <c r="M68" i="14"/>
  <c r="E69" i="14"/>
  <c r="O69" i="14" s="1"/>
  <c r="F69" i="14"/>
  <c r="N69" i="14" s="1"/>
  <c r="G69" i="14"/>
  <c r="H69" i="14"/>
  <c r="I69" i="14"/>
  <c r="J69" i="14"/>
  <c r="K69" i="14"/>
  <c r="L69" i="14"/>
  <c r="M69" i="14"/>
  <c r="E70" i="14"/>
  <c r="O70" i="14" s="1"/>
  <c r="F70" i="14"/>
  <c r="N70" i="14" s="1"/>
  <c r="G70" i="14"/>
  <c r="H70" i="14"/>
  <c r="I70" i="14"/>
  <c r="J70" i="14"/>
  <c r="K70" i="14"/>
  <c r="L70" i="14"/>
  <c r="M70" i="14"/>
  <c r="E71" i="14"/>
  <c r="F71" i="14"/>
  <c r="G71" i="14"/>
  <c r="O71" i="14" s="1"/>
  <c r="H71" i="14"/>
  <c r="N71" i="14" s="1"/>
  <c r="I71" i="14"/>
  <c r="J71" i="14"/>
  <c r="K71" i="14"/>
  <c r="L71" i="14"/>
  <c r="M71" i="14"/>
  <c r="E72" i="14"/>
  <c r="O72" i="14" s="1"/>
  <c r="F72" i="14"/>
  <c r="N72" i="14" s="1"/>
  <c r="G72" i="14"/>
  <c r="H72" i="14"/>
  <c r="I72" i="14"/>
  <c r="J72" i="14"/>
  <c r="K72" i="14"/>
  <c r="L72" i="14"/>
  <c r="M72" i="14"/>
  <c r="E73" i="14"/>
  <c r="O73" i="14" s="1"/>
  <c r="F73" i="14"/>
  <c r="G73" i="14"/>
  <c r="G74" i="14" s="1"/>
  <c r="H73" i="14"/>
  <c r="I73" i="14"/>
  <c r="J73" i="14"/>
  <c r="K73" i="14"/>
  <c r="L73" i="14"/>
  <c r="M73" i="14"/>
  <c r="D65" i="14"/>
  <c r="D66" i="14"/>
  <c r="D67" i="14"/>
  <c r="D68" i="14"/>
  <c r="D69" i="14"/>
  <c r="D70" i="14"/>
  <c r="D71" i="14"/>
  <c r="D72" i="14"/>
  <c r="D73" i="14"/>
  <c r="D64" i="14"/>
  <c r="N78" i="14"/>
  <c r="D85" i="14"/>
  <c r="O76" i="14"/>
  <c r="N76" i="14"/>
  <c r="K85" i="14"/>
  <c r="M85" i="14"/>
  <c r="O65" i="14"/>
  <c r="N65" i="14"/>
  <c r="O64" i="14"/>
  <c r="N64" i="14"/>
  <c r="D74" i="4"/>
  <c r="E74" i="4"/>
  <c r="F74" i="4"/>
  <c r="G74" i="4"/>
  <c r="H74" i="4"/>
  <c r="I74" i="4"/>
  <c r="J74" i="4"/>
  <c r="K74" i="4"/>
  <c r="L74" i="4"/>
  <c r="M74" i="4"/>
  <c r="N74" i="4"/>
  <c r="C74" i="4"/>
  <c r="D63" i="4"/>
  <c r="E63" i="4"/>
  <c r="F63" i="4"/>
  <c r="G63" i="4"/>
  <c r="H63" i="4"/>
  <c r="I63" i="4"/>
  <c r="J63" i="4"/>
  <c r="K63" i="4"/>
  <c r="L63" i="4"/>
  <c r="M63" i="4"/>
  <c r="N63" i="4"/>
  <c r="C63" i="4"/>
  <c r="B302" i="3"/>
  <c r="C302" i="3"/>
  <c r="D302" i="3"/>
  <c r="E302" i="3"/>
  <c r="F302" i="3"/>
  <c r="B303" i="3"/>
  <c r="C303" i="3"/>
  <c r="D303" i="3"/>
  <c r="E303" i="3"/>
  <c r="F303" i="3"/>
  <c r="B304" i="3"/>
  <c r="C304" i="3"/>
  <c r="D304" i="3"/>
  <c r="E304" i="3"/>
  <c r="F304" i="3"/>
  <c r="B305" i="3"/>
  <c r="C305" i="3"/>
  <c r="D305" i="3"/>
  <c r="E305" i="3"/>
  <c r="F305" i="3"/>
  <c r="B306" i="3"/>
  <c r="C306" i="3"/>
  <c r="D306" i="3"/>
  <c r="E306" i="3"/>
  <c r="F306" i="3"/>
  <c r="B307" i="3"/>
  <c r="C307" i="3"/>
  <c r="D307" i="3"/>
  <c r="E307" i="3"/>
  <c r="F307" i="3"/>
  <c r="B308" i="3"/>
  <c r="C308" i="3"/>
  <c r="D308" i="3"/>
  <c r="E308" i="3"/>
  <c r="F308" i="3"/>
  <c r="B309" i="3"/>
  <c r="C309" i="3"/>
  <c r="D309" i="3"/>
  <c r="E309" i="3"/>
  <c r="F309" i="3"/>
  <c r="B310" i="3"/>
  <c r="C310" i="3"/>
  <c r="D310" i="3"/>
  <c r="E310" i="3"/>
  <c r="F310" i="3"/>
  <c r="B311" i="3"/>
  <c r="C311" i="3"/>
  <c r="D311" i="3"/>
  <c r="E311" i="3"/>
  <c r="F311" i="3"/>
  <c r="B312" i="3"/>
  <c r="C312" i="3"/>
  <c r="D312" i="3"/>
  <c r="E312" i="3"/>
  <c r="F312" i="3"/>
  <c r="B313" i="3"/>
  <c r="C313" i="3"/>
  <c r="D313" i="3"/>
  <c r="E313" i="3"/>
  <c r="F313" i="3"/>
  <c r="B314" i="3"/>
  <c r="C314" i="3"/>
  <c r="D314" i="3"/>
  <c r="E314" i="3"/>
  <c r="F314" i="3"/>
  <c r="B315" i="3"/>
  <c r="C315" i="3"/>
  <c r="D315" i="3"/>
  <c r="E315" i="3"/>
  <c r="F315" i="3"/>
  <c r="B316" i="3"/>
  <c r="C316" i="3"/>
  <c r="D316" i="3"/>
  <c r="E316" i="3"/>
  <c r="F316" i="3"/>
  <c r="B317" i="3"/>
  <c r="C317" i="3"/>
  <c r="D317" i="3"/>
  <c r="E317" i="3"/>
  <c r="F317" i="3"/>
  <c r="B318" i="3"/>
  <c r="C318" i="3"/>
  <c r="D318" i="3"/>
  <c r="E318" i="3"/>
  <c r="F318" i="3"/>
  <c r="B319" i="3"/>
  <c r="C319" i="3"/>
  <c r="D319" i="3"/>
  <c r="E319" i="3"/>
  <c r="F319" i="3"/>
  <c r="B320" i="3"/>
  <c r="C320" i="3"/>
  <c r="D320" i="3"/>
  <c r="E320" i="3"/>
  <c r="F320" i="3"/>
  <c r="B321" i="3"/>
  <c r="C321" i="3"/>
  <c r="D321" i="3"/>
  <c r="E321" i="3"/>
  <c r="F321" i="3"/>
  <c r="B322" i="3"/>
  <c r="C322" i="3"/>
  <c r="D322" i="3"/>
  <c r="E322" i="3"/>
  <c r="F322" i="3"/>
  <c r="B323" i="3"/>
  <c r="C323" i="3"/>
  <c r="D323" i="3"/>
  <c r="E323" i="3"/>
  <c r="F323" i="3"/>
  <c r="B324" i="3"/>
  <c r="C324" i="3"/>
  <c r="D324" i="3"/>
  <c r="E324" i="3"/>
  <c r="F324" i="3"/>
  <c r="B325" i="3"/>
  <c r="C325" i="3"/>
  <c r="D325" i="3"/>
  <c r="E325" i="3"/>
  <c r="F325" i="3"/>
  <c r="B326" i="3"/>
  <c r="C326" i="3"/>
  <c r="D326" i="3"/>
  <c r="E326" i="3"/>
  <c r="F326" i="3"/>
  <c r="B327" i="3"/>
  <c r="C327" i="3"/>
  <c r="D327" i="3"/>
  <c r="E327" i="3"/>
  <c r="F327" i="3"/>
  <c r="B328" i="3"/>
  <c r="C328" i="3"/>
  <c r="D328" i="3"/>
  <c r="E328" i="3"/>
  <c r="F328" i="3"/>
  <c r="B329" i="3"/>
  <c r="C329" i="3"/>
  <c r="D329" i="3"/>
  <c r="E329" i="3"/>
  <c r="F329" i="3"/>
  <c r="B330" i="3"/>
  <c r="C330" i="3"/>
  <c r="D330" i="3"/>
  <c r="E330" i="3"/>
  <c r="F330" i="3"/>
  <c r="B331" i="3"/>
  <c r="C331" i="3"/>
  <c r="D331" i="3"/>
  <c r="E331" i="3"/>
  <c r="F331" i="3"/>
  <c r="B332" i="3"/>
  <c r="C332" i="3"/>
  <c r="D332" i="3"/>
  <c r="E332" i="3"/>
  <c r="F332" i="3"/>
  <c r="B333" i="3"/>
  <c r="C333" i="3"/>
  <c r="D333" i="3"/>
  <c r="E333" i="3"/>
  <c r="F333" i="3"/>
  <c r="B334" i="3"/>
  <c r="C334" i="3"/>
  <c r="D334" i="3"/>
  <c r="E334" i="3"/>
  <c r="F334" i="3"/>
  <c r="B335" i="3"/>
  <c r="C335" i="3"/>
  <c r="D335" i="3"/>
  <c r="E335" i="3"/>
  <c r="F335" i="3"/>
  <c r="B336" i="3"/>
  <c r="C336" i="3"/>
  <c r="D336" i="3"/>
  <c r="E336" i="3"/>
  <c r="F336" i="3"/>
  <c r="B337" i="3"/>
  <c r="C337" i="3"/>
  <c r="D337" i="3"/>
  <c r="E337" i="3"/>
  <c r="F337" i="3"/>
  <c r="B338" i="3"/>
  <c r="C338" i="3"/>
  <c r="D338" i="3"/>
  <c r="E338" i="3"/>
  <c r="F338" i="3"/>
  <c r="B339" i="3"/>
  <c r="C339" i="3"/>
  <c r="D339" i="3"/>
  <c r="E339" i="3"/>
  <c r="F339" i="3"/>
  <c r="B340" i="3"/>
  <c r="C340" i="3"/>
  <c r="D340" i="3"/>
  <c r="E340" i="3"/>
  <c r="F340" i="3"/>
  <c r="B341" i="3"/>
  <c r="C341" i="3"/>
  <c r="D341" i="3"/>
  <c r="E341" i="3"/>
  <c r="F341" i="3"/>
  <c r="B342" i="3"/>
  <c r="C342" i="3"/>
  <c r="D342" i="3"/>
  <c r="E342" i="3"/>
  <c r="F342" i="3"/>
  <c r="B343" i="3"/>
  <c r="C343" i="3"/>
  <c r="D343" i="3"/>
  <c r="E343" i="3"/>
  <c r="F343" i="3"/>
  <c r="B344" i="3"/>
  <c r="C344" i="3"/>
  <c r="D344" i="3"/>
  <c r="E344" i="3"/>
  <c r="F344" i="3"/>
  <c r="B345" i="3"/>
  <c r="C345" i="3"/>
  <c r="D345" i="3"/>
  <c r="E345" i="3"/>
  <c r="F345" i="3"/>
  <c r="B346" i="3"/>
  <c r="C346" i="3"/>
  <c r="D346" i="3"/>
  <c r="E346" i="3"/>
  <c r="F346" i="3"/>
  <c r="B347" i="3"/>
  <c r="C347" i="3"/>
  <c r="D347" i="3"/>
  <c r="E347" i="3"/>
  <c r="F347" i="3"/>
  <c r="B348" i="3"/>
  <c r="C348" i="3"/>
  <c r="D348" i="3"/>
  <c r="E348" i="3"/>
  <c r="F348" i="3"/>
  <c r="B349" i="3"/>
  <c r="C349" i="3"/>
  <c r="D349" i="3"/>
  <c r="E349" i="3"/>
  <c r="F349" i="3"/>
  <c r="B350" i="3"/>
  <c r="C350" i="3"/>
  <c r="D350" i="3"/>
  <c r="E350" i="3"/>
  <c r="F350" i="3"/>
  <c r="B351" i="3"/>
  <c r="C351" i="3"/>
  <c r="D351" i="3"/>
  <c r="E351" i="3"/>
  <c r="F351" i="3"/>
  <c r="B352" i="3"/>
  <c r="C352" i="3"/>
  <c r="D352" i="3"/>
  <c r="E352" i="3"/>
  <c r="F352" i="3"/>
  <c r="B353" i="3"/>
  <c r="C353" i="3"/>
  <c r="D353" i="3"/>
  <c r="E353" i="3"/>
  <c r="F353" i="3"/>
  <c r="B354" i="3"/>
  <c r="C354" i="3"/>
  <c r="D354" i="3"/>
  <c r="E354" i="3"/>
  <c r="F354" i="3"/>
  <c r="B355" i="3"/>
  <c r="C355" i="3"/>
  <c r="D355" i="3"/>
  <c r="E355" i="3"/>
  <c r="F355" i="3"/>
  <c r="B356" i="3"/>
  <c r="C356" i="3"/>
  <c r="D356" i="3"/>
  <c r="E356" i="3"/>
  <c r="F356" i="3"/>
  <c r="B357" i="3"/>
  <c r="C357" i="3"/>
  <c r="D357" i="3"/>
  <c r="E357" i="3"/>
  <c r="F357" i="3"/>
  <c r="B358" i="3"/>
  <c r="C358" i="3"/>
  <c r="D358" i="3"/>
  <c r="E358" i="3"/>
  <c r="F358" i="3"/>
  <c r="B359" i="3"/>
  <c r="C359" i="3"/>
  <c r="D359" i="3"/>
  <c r="E359" i="3"/>
  <c r="F359" i="3"/>
  <c r="B360" i="3"/>
  <c r="C360" i="3"/>
  <c r="D360" i="3"/>
  <c r="E360" i="3"/>
  <c r="F360" i="3"/>
  <c r="B361" i="3"/>
  <c r="C361" i="3"/>
  <c r="D361" i="3"/>
  <c r="E361" i="3"/>
  <c r="F361" i="3"/>
  <c r="B362" i="3"/>
  <c r="C362" i="3"/>
  <c r="D362" i="3"/>
  <c r="E362" i="3"/>
  <c r="F362" i="3"/>
  <c r="B363" i="3"/>
  <c r="C363" i="3"/>
  <c r="D363" i="3"/>
  <c r="E363" i="3"/>
  <c r="F363" i="3"/>
  <c r="B364" i="3"/>
  <c r="C364" i="3"/>
  <c r="D364" i="3"/>
  <c r="E364" i="3"/>
  <c r="F364" i="3"/>
  <c r="B365" i="3"/>
  <c r="C365" i="3"/>
  <c r="D365" i="3"/>
  <c r="E365" i="3"/>
  <c r="F365" i="3"/>
  <c r="B366" i="3"/>
  <c r="C366" i="3"/>
  <c r="D366" i="3"/>
  <c r="E366" i="3"/>
  <c r="F366" i="3"/>
  <c r="B367" i="3"/>
  <c r="C367" i="3"/>
  <c r="D367" i="3"/>
  <c r="E367" i="3"/>
  <c r="F367" i="3"/>
  <c r="B368" i="3"/>
  <c r="C368" i="3"/>
  <c r="D368" i="3"/>
  <c r="E368" i="3"/>
  <c r="F368" i="3"/>
  <c r="B369" i="3"/>
  <c r="C369" i="3"/>
  <c r="D369" i="3"/>
  <c r="E369" i="3"/>
  <c r="F369" i="3"/>
  <c r="B370" i="3"/>
  <c r="C370" i="3"/>
  <c r="D370" i="3"/>
  <c r="E370" i="3"/>
  <c r="F370" i="3"/>
  <c r="B371" i="3"/>
  <c r="C371" i="3"/>
  <c r="D371" i="3"/>
  <c r="E371" i="3"/>
  <c r="F371" i="3"/>
  <c r="B372" i="3"/>
  <c r="C372" i="3"/>
  <c r="D372" i="3"/>
  <c r="E372" i="3"/>
  <c r="F372" i="3"/>
  <c r="B373" i="3"/>
  <c r="C373" i="3"/>
  <c r="D373" i="3"/>
  <c r="E373" i="3"/>
  <c r="F373" i="3"/>
  <c r="B374" i="3"/>
  <c r="C374" i="3"/>
  <c r="D374" i="3"/>
  <c r="E374" i="3"/>
  <c r="F374" i="3"/>
  <c r="B375" i="3"/>
  <c r="C375" i="3"/>
  <c r="D375" i="3"/>
  <c r="E375" i="3"/>
  <c r="F375" i="3"/>
  <c r="B376" i="3"/>
  <c r="C376" i="3"/>
  <c r="D376" i="3"/>
  <c r="E376" i="3"/>
  <c r="F376" i="3"/>
  <c r="B377" i="3"/>
  <c r="C377" i="3"/>
  <c r="D377" i="3"/>
  <c r="E377" i="3"/>
  <c r="F377" i="3"/>
  <c r="B378" i="3"/>
  <c r="C378" i="3"/>
  <c r="D378" i="3"/>
  <c r="E378" i="3"/>
  <c r="F378" i="3"/>
  <c r="B379" i="3"/>
  <c r="C379" i="3"/>
  <c r="D379" i="3"/>
  <c r="E379" i="3"/>
  <c r="F379" i="3"/>
  <c r="B380" i="3"/>
  <c r="C380" i="3"/>
  <c r="D380" i="3"/>
  <c r="E380" i="3"/>
  <c r="F380" i="3"/>
  <c r="B381" i="3"/>
  <c r="C381" i="3"/>
  <c r="D381" i="3"/>
  <c r="E381" i="3"/>
  <c r="F381" i="3"/>
  <c r="B382" i="3"/>
  <c r="C382" i="3"/>
  <c r="D382" i="3"/>
  <c r="E382" i="3"/>
  <c r="F382" i="3"/>
  <c r="B383" i="3"/>
  <c r="C383" i="3"/>
  <c r="D383" i="3"/>
  <c r="E383" i="3"/>
  <c r="F383" i="3"/>
  <c r="B384" i="3"/>
  <c r="C384" i="3"/>
  <c r="D384" i="3"/>
  <c r="E384" i="3"/>
  <c r="F384" i="3"/>
  <c r="B385" i="3"/>
  <c r="C385" i="3"/>
  <c r="D385" i="3"/>
  <c r="E385" i="3"/>
  <c r="F385" i="3"/>
  <c r="B386" i="3"/>
  <c r="C386" i="3"/>
  <c r="D386" i="3"/>
  <c r="E386" i="3"/>
  <c r="F386" i="3"/>
  <c r="B387" i="3"/>
  <c r="C387" i="3"/>
  <c r="D387" i="3"/>
  <c r="E387" i="3"/>
  <c r="F387" i="3"/>
  <c r="B388" i="3"/>
  <c r="C388" i="3"/>
  <c r="D388" i="3"/>
  <c r="E388" i="3"/>
  <c r="F388" i="3"/>
  <c r="B389" i="3"/>
  <c r="C389" i="3"/>
  <c r="D389" i="3"/>
  <c r="E389" i="3"/>
  <c r="F389" i="3"/>
  <c r="B390" i="3"/>
  <c r="C390" i="3"/>
  <c r="D390" i="3"/>
  <c r="E390" i="3"/>
  <c r="F390" i="3"/>
  <c r="B391" i="3"/>
  <c r="C391" i="3"/>
  <c r="D391" i="3"/>
  <c r="E391" i="3"/>
  <c r="F391" i="3"/>
  <c r="B392" i="3"/>
  <c r="C392" i="3"/>
  <c r="D392" i="3"/>
  <c r="E392" i="3"/>
  <c r="F392" i="3"/>
  <c r="B393" i="3"/>
  <c r="C393" i="3"/>
  <c r="D393" i="3"/>
  <c r="E393" i="3"/>
  <c r="F393" i="3"/>
  <c r="B394" i="3"/>
  <c r="C394" i="3"/>
  <c r="D394" i="3"/>
  <c r="E394" i="3"/>
  <c r="F394" i="3"/>
  <c r="B395" i="3"/>
  <c r="C395" i="3"/>
  <c r="D395" i="3"/>
  <c r="E395" i="3"/>
  <c r="F395" i="3"/>
  <c r="B396" i="3"/>
  <c r="C396" i="3"/>
  <c r="D396" i="3"/>
  <c r="E396" i="3"/>
  <c r="F396" i="3"/>
  <c r="B397" i="3"/>
  <c r="C397" i="3"/>
  <c r="D397" i="3"/>
  <c r="E397" i="3"/>
  <c r="F397" i="3"/>
  <c r="B398" i="3"/>
  <c r="C398" i="3"/>
  <c r="D398" i="3"/>
  <c r="E398" i="3"/>
  <c r="F398" i="3"/>
  <c r="B399" i="3"/>
  <c r="C399" i="3"/>
  <c r="D399" i="3"/>
  <c r="E399" i="3"/>
  <c r="F399" i="3"/>
  <c r="B400" i="3"/>
  <c r="C400" i="3"/>
  <c r="D400" i="3"/>
  <c r="E400" i="3"/>
  <c r="F400" i="3"/>
  <c r="B551" i="3"/>
  <c r="C551" i="3"/>
  <c r="D551" i="3"/>
  <c r="E551" i="3"/>
  <c r="F551" i="3"/>
  <c r="B552" i="3"/>
  <c r="C552" i="3"/>
  <c r="D552" i="3"/>
  <c r="E552" i="3"/>
  <c r="F552" i="3"/>
  <c r="B553" i="3"/>
  <c r="C553" i="3"/>
  <c r="D553" i="3"/>
  <c r="E553" i="3"/>
  <c r="F553" i="3"/>
  <c r="B554" i="3"/>
  <c r="C554" i="3"/>
  <c r="D554" i="3"/>
  <c r="E554" i="3"/>
  <c r="F554" i="3"/>
  <c r="B555" i="3"/>
  <c r="C555" i="3"/>
  <c r="D555" i="3"/>
  <c r="E555" i="3"/>
  <c r="F555" i="3"/>
  <c r="B556" i="3"/>
  <c r="C556" i="3"/>
  <c r="D556" i="3"/>
  <c r="E556" i="3"/>
  <c r="F556" i="3"/>
  <c r="B557" i="3"/>
  <c r="C557" i="3"/>
  <c r="D557" i="3"/>
  <c r="E557" i="3"/>
  <c r="F557" i="3"/>
  <c r="B558" i="3"/>
  <c r="C558" i="3"/>
  <c r="D558" i="3"/>
  <c r="E558" i="3"/>
  <c r="F558" i="3"/>
  <c r="B559" i="3"/>
  <c r="C559" i="3"/>
  <c r="D559" i="3"/>
  <c r="E559" i="3"/>
  <c r="F559" i="3"/>
  <c r="B560" i="3"/>
  <c r="C560" i="3"/>
  <c r="D560" i="3"/>
  <c r="E560" i="3"/>
  <c r="F560" i="3"/>
  <c r="B561" i="3"/>
  <c r="C561" i="3"/>
  <c r="D561" i="3"/>
  <c r="E561" i="3"/>
  <c r="F561" i="3"/>
  <c r="B562" i="3"/>
  <c r="C562" i="3"/>
  <c r="D562" i="3"/>
  <c r="E562" i="3"/>
  <c r="F562" i="3"/>
  <c r="B563" i="3"/>
  <c r="C563" i="3"/>
  <c r="D563" i="3"/>
  <c r="E563" i="3"/>
  <c r="F563" i="3"/>
  <c r="B564" i="3"/>
  <c r="C564" i="3"/>
  <c r="D564" i="3"/>
  <c r="E564" i="3"/>
  <c r="F564" i="3"/>
  <c r="B565" i="3"/>
  <c r="C565" i="3"/>
  <c r="D565" i="3"/>
  <c r="E565" i="3"/>
  <c r="F565" i="3"/>
  <c r="B566" i="3"/>
  <c r="C566" i="3"/>
  <c r="D566" i="3"/>
  <c r="E566" i="3"/>
  <c r="F566" i="3"/>
  <c r="B567" i="3"/>
  <c r="C567" i="3"/>
  <c r="D567" i="3"/>
  <c r="E567" i="3"/>
  <c r="F567" i="3"/>
  <c r="B568" i="3"/>
  <c r="C568" i="3"/>
  <c r="D568" i="3"/>
  <c r="E568" i="3"/>
  <c r="F568" i="3"/>
  <c r="B569" i="3"/>
  <c r="C569" i="3"/>
  <c r="D569" i="3"/>
  <c r="E569" i="3"/>
  <c r="F569" i="3"/>
  <c r="B570" i="3"/>
  <c r="C570" i="3"/>
  <c r="D570" i="3"/>
  <c r="E570" i="3"/>
  <c r="F570" i="3"/>
  <c r="B571" i="3"/>
  <c r="C571" i="3"/>
  <c r="D571" i="3"/>
  <c r="E571" i="3"/>
  <c r="F571" i="3"/>
  <c r="B572" i="3"/>
  <c r="C572" i="3"/>
  <c r="D572" i="3"/>
  <c r="E572" i="3"/>
  <c r="F572" i="3"/>
  <c r="B573" i="3"/>
  <c r="C573" i="3"/>
  <c r="D573" i="3"/>
  <c r="E573" i="3"/>
  <c r="F573" i="3"/>
  <c r="B574" i="3"/>
  <c r="C574" i="3"/>
  <c r="D574" i="3"/>
  <c r="E574" i="3"/>
  <c r="F574" i="3"/>
  <c r="B575" i="3"/>
  <c r="C575" i="3"/>
  <c r="D575" i="3"/>
  <c r="E575" i="3"/>
  <c r="F575" i="3"/>
  <c r="B576" i="3"/>
  <c r="C576" i="3"/>
  <c r="D576" i="3"/>
  <c r="E576" i="3"/>
  <c r="F576" i="3"/>
  <c r="B577" i="3"/>
  <c r="C577" i="3"/>
  <c r="D577" i="3"/>
  <c r="E577" i="3"/>
  <c r="F577" i="3"/>
  <c r="B578" i="3"/>
  <c r="C578" i="3"/>
  <c r="D578" i="3"/>
  <c r="E578" i="3"/>
  <c r="F578" i="3"/>
  <c r="B579" i="3"/>
  <c r="C579" i="3"/>
  <c r="D579" i="3"/>
  <c r="E579" i="3"/>
  <c r="F579" i="3"/>
  <c r="B580" i="3"/>
  <c r="C580" i="3"/>
  <c r="D580" i="3"/>
  <c r="E580" i="3"/>
  <c r="F580" i="3"/>
  <c r="B581" i="3"/>
  <c r="C581" i="3"/>
  <c r="D581" i="3"/>
  <c r="E581" i="3"/>
  <c r="F581" i="3"/>
  <c r="B582" i="3"/>
  <c r="C582" i="3"/>
  <c r="D582" i="3"/>
  <c r="E582" i="3"/>
  <c r="F582" i="3"/>
  <c r="B583" i="3"/>
  <c r="C583" i="3"/>
  <c r="D583" i="3"/>
  <c r="E583" i="3"/>
  <c r="F583" i="3"/>
  <c r="B584" i="3"/>
  <c r="C584" i="3"/>
  <c r="D584" i="3"/>
  <c r="E584" i="3"/>
  <c r="F584" i="3"/>
  <c r="B585" i="3"/>
  <c r="C585" i="3"/>
  <c r="D585" i="3"/>
  <c r="E585" i="3"/>
  <c r="F585" i="3"/>
  <c r="B586" i="3"/>
  <c r="C586" i="3"/>
  <c r="D586" i="3"/>
  <c r="E586" i="3"/>
  <c r="F586" i="3"/>
  <c r="B587" i="3"/>
  <c r="C587" i="3"/>
  <c r="D587" i="3"/>
  <c r="E587" i="3"/>
  <c r="F587" i="3"/>
  <c r="B588" i="3"/>
  <c r="C588" i="3"/>
  <c r="D588" i="3"/>
  <c r="E588" i="3"/>
  <c r="F588" i="3"/>
  <c r="B589" i="3"/>
  <c r="C589" i="3"/>
  <c r="D589" i="3"/>
  <c r="E589" i="3"/>
  <c r="F589" i="3"/>
  <c r="B590" i="3"/>
  <c r="C590" i="3"/>
  <c r="D590" i="3"/>
  <c r="E590" i="3"/>
  <c r="F590" i="3"/>
  <c r="B591" i="3"/>
  <c r="C591" i="3"/>
  <c r="D591" i="3"/>
  <c r="E591" i="3"/>
  <c r="F591" i="3"/>
  <c r="B592" i="3"/>
  <c r="C592" i="3"/>
  <c r="D592" i="3"/>
  <c r="E592" i="3"/>
  <c r="F592" i="3"/>
  <c r="B593" i="3"/>
  <c r="C593" i="3"/>
  <c r="D593" i="3"/>
  <c r="E593" i="3"/>
  <c r="F593" i="3"/>
  <c r="B594" i="3"/>
  <c r="C594" i="3"/>
  <c r="D594" i="3"/>
  <c r="E594" i="3"/>
  <c r="F594" i="3"/>
  <c r="B595" i="3"/>
  <c r="C595" i="3"/>
  <c r="D595" i="3"/>
  <c r="E595" i="3"/>
  <c r="F595" i="3"/>
  <c r="B596" i="3"/>
  <c r="C596" i="3"/>
  <c r="D596" i="3"/>
  <c r="E596" i="3"/>
  <c r="F596" i="3"/>
  <c r="B597" i="3"/>
  <c r="C597" i="3"/>
  <c r="D597" i="3"/>
  <c r="E597" i="3"/>
  <c r="F597" i="3"/>
  <c r="B598" i="3"/>
  <c r="C598" i="3"/>
  <c r="D598" i="3"/>
  <c r="E598" i="3"/>
  <c r="F598" i="3"/>
  <c r="B599" i="3"/>
  <c r="C599" i="3"/>
  <c r="D599" i="3"/>
  <c r="E599" i="3"/>
  <c r="F599" i="3"/>
  <c r="B600" i="3"/>
  <c r="C600" i="3"/>
  <c r="D600" i="3"/>
  <c r="E600" i="3"/>
  <c r="F600" i="3"/>
  <c r="B601" i="3"/>
  <c r="C601" i="3"/>
  <c r="D601" i="3"/>
  <c r="E601" i="3"/>
  <c r="F601" i="3"/>
  <c r="B602" i="3"/>
  <c r="C602" i="3"/>
  <c r="D602" i="3"/>
  <c r="E602" i="3"/>
  <c r="F602" i="3"/>
  <c r="B603" i="3"/>
  <c r="C603" i="3"/>
  <c r="D603" i="3"/>
  <c r="E603" i="3"/>
  <c r="F603" i="3"/>
  <c r="B604" i="3"/>
  <c r="C604" i="3"/>
  <c r="D604" i="3"/>
  <c r="E604" i="3"/>
  <c r="F604" i="3"/>
  <c r="B605" i="3"/>
  <c r="C605" i="3"/>
  <c r="D605" i="3"/>
  <c r="E605" i="3"/>
  <c r="F605" i="3"/>
  <c r="B606" i="3"/>
  <c r="C606" i="3"/>
  <c r="D606" i="3"/>
  <c r="E606" i="3"/>
  <c r="F606" i="3"/>
  <c r="B607" i="3"/>
  <c r="C607" i="3"/>
  <c r="D607" i="3"/>
  <c r="E607" i="3"/>
  <c r="F607" i="3"/>
  <c r="B608" i="3"/>
  <c r="C608" i="3"/>
  <c r="D608" i="3"/>
  <c r="E608" i="3"/>
  <c r="F608" i="3"/>
  <c r="B609" i="3"/>
  <c r="C609" i="3"/>
  <c r="D609" i="3"/>
  <c r="E609" i="3"/>
  <c r="F609" i="3"/>
  <c r="B610" i="3"/>
  <c r="C610" i="3"/>
  <c r="D610" i="3"/>
  <c r="E610" i="3"/>
  <c r="F610" i="3"/>
  <c r="B611" i="3"/>
  <c r="C611" i="3"/>
  <c r="D611" i="3"/>
  <c r="E611" i="3"/>
  <c r="F611" i="3"/>
  <c r="B612" i="3"/>
  <c r="C612" i="3"/>
  <c r="D612" i="3"/>
  <c r="E612" i="3"/>
  <c r="F612" i="3"/>
  <c r="B613" i="3"/>
  <c r="C613" i="3"/>
  <c r="D613" i="3"/>
  <c r="E613" i="3"/>
  <c r="F613" i="3"/>
  <c r="B614" i="3"/>
  <c r="C614" i="3"/>
  <c r="D614" i="3"/>
  <c r="E614" i="3"/>
  <c r="F614" i="3"/>
  <c r="B615" i="3"/>
  <c r="C615" i="3"/>
  <c r="D615" i="3"/>
  <c r="E615" i="3"/>
  <c r="F615" i="3"/>
  <c r="B616" i="3"/>
  <c r="C616" i="3"/>
  <c r="D616" i="3"/>
  <c r="E616" i="3"/>
  <c r="F616" i="3"/>
  <c r="B617" i="3"/>
  <c r="C617" i="3"/>
  <c r="D617" i="3"/>
  <c r="E617" i="3"/>
  <c r="F617" i="3"/>
  <c r="B618" i="3"/>
  <c r="C618" i="3"/>
  <c r="D618" i="3"/>
  <c r="E618" i="3"/>
  <c r="F618" i="3"/>
  <c r="B619" i="3"/>
  <c r="C619" i="3"/>
  <c r="D619" i="3"/>
  <c r="E619" i="3"/>
  <c r="F619" i="3"/>
  <c r="B620" i="3"/>
  <c r="C620" i="3"/>
  <c r="D620" i="3"/>
  <c r="E620" i="3"/>
  <c r="F620" i="3"/>
  <c r="B621" i="3"/>
  <c r="C621" i="3"/>
  <c r="D621" i="3"/>
  <c r="E621" i="3"/>
  <c r="F621" i="3"/>
  <c r="B622" i="3"/>
  <c r="C622" i="3"/>
  <c r="D622" i="3"/>
  <c r="E622" i="3"/>
  <c r="F622" i="3"/>
  <c r="B623" i="3"/>
  <c r="C623" i="3"/>
  <c r="D623" i="3"/>
  <c r="E623" i="3"/>
  <c r="F623" i="3"/>
  <c r="B624" i="3"/>
  <c r="C624" i="3"/>
  <c r="D624" i="3"/>
  <c r="E624" i="3"/>
  <c r="F624" i="3"/>
  <c r="B625" i="3"/>
  <c r="C625" i="3"/>
  <c r="D625" i="3"/>
  <c r="E625" i="3"/>
  <c r="F625" i="3"/>
  <c r="B626" i="3"/>
  <c r="C626" i="3"/>
  <c r="D626" i="3"/>
  <c r="E626" i="3"/>
  <c r="F626" i="3"/>
  <c r="B627" i="3"/>
  <c r="C627" i="3"/>
  <c r="D627" i="3"/>
  <c r="E627" i="3"/>
  <c r="F627" i="3"/>
  <c r="B628" i="3"/>
  <c r="C628" i="3"/>
  <c r="D628" i="3"/>
  <c r="E628" i="3"/>
  <c r="F628" i="3"/>
  <c r="B629" i="3"/>
  <c r="C629" i="3"/>
  <c r="D629" i="3"/>
  <c r="E629" i="3"/>
  <c r="F629" i="3"/>
  <c r="B630" i="3"/>
  <c r="C630" i="3"/>
  <c r="D630" i="3"/>
  <c r="E630" i="3"/>
  <c r="F630" i="3"/>
  <c r="B631" i="3"/>
  <c r="C631" i="3"/>
  <c r="D631" i="3"/>
  <c r="E631" i="3"/>
  <c r="F631" i="3"/>
  <c r="B632" i="3"/>
  <c r="C632" i="3"/>
  <c r="D632" i="3"/>
  <c r="E632" i="3"/>
  <c r="F632" i="3"/>
  <c r="B633" i="3"/>
  <c r="C633" i="3"/>
  <c r="D633" i="3"/>
  <c r="E633" i="3"/>
  <c r="F633" i="3"/>
  <c r="B634" i="3"/>
  <c r="C634" i="3"/>
  <c r="D634" i="3"/>
  <c r="E634" i="3"/>
  <c r="F634" i="3"/>
  <c r="B635" i="3"/>
  <c r="C635" i="3"/>
  <c r="D635" i="3"/>
  <c r="E635" i="3"/>
  <c r="F635" i="3"/>
  <c r="B636" i="3"/>
  <c r="C636" i="3"/>
  <c r="D636" i="3"/>
  <c r="E636" i="3"/>
  <c r="F636" i="3"/>
  <c r="B637" i="3"/>
  <c r="C637" i="3"/>
  <c r="D637" i="3"/>
  <c r="E637" i="3"/>
  <c r="F637" i="3"/>
  <c r="B638" i="3"/>
  <c r="C638" i="3"/>
  <c r="D638" i="3"/>
  <c r="E638" i="3"/>
  <c r="F638" i="3"/>
  <c r="B639" i="3"/>
  <c r="C639" i="3"/>
  <c r="D639" i="3"/>
  <c r="E639" i="3"/>
  <c r="F639" i="3"/>
  <c r="B640" i="3"/>
  <c r="C640" i="3"/>
  <c r="D640" i="3"/>
  <c r="E640" i="3"/>
  <c r="F640" i="3"/>
  <c r="B641" i="3"/>
  <c r="C641" i="3"/>
  <c r="D641" i="3"/>
  <c r="E641" i="3"/>
  <c r="F641" i="3"/>
  <c r="B642" i="3"/>
  <c r="C642" i="3"/>
  <c r="D642" i="3"/>
  <c r="E642" i="3"/>
  <c r="F642" i="3"/>
  <c r="B643" i="3"/>
  <c r="C643" i="3"/>
  <c r="D643" i="3"/>
  <c r="E643" i="3"/>
  <c r="F643" i="3"/>
  <c r="B644" i="3"/>
  <c r="C644" i="3"/>
  <c r="D644" i="3"/>
  <c r="E644" i="3"/>
  <c r="F644" i="3"/>
  <c r="B645" i="3"/>
  <c r="C645" i="3"/>
  <c r="D645" i="3"/>
  <c r="E645" i="3"/>
  <c r="F645" i="3"/>
  <c r="B646" i="3"/>
  <c r="C646" i="3"/>
  <c r="D646" i="3"/>
  <c r="E646" i="3"/>
  <c r="F646" i="3"/>
  <c r="B647" i="3"/>
  <c r="C647" i="3"/>
  <c r="D647" i="3"/>
  <c r="E647" i="3"/>
  <c r="F647" i="3"/>
  <c r="B648" i="3"/>
  <c r="C648" i="3"/>
  <c r="D648" i="3"/>
  <c r="E648" i="3"/>
  <c r="F648" i="3"/>
  <c r="B649" i="3"/>
  <c r="C649" i="3"/>
  <c r="D649" i="3"/>
  <c r="E649" i="3"/>
  <c r="F649" i="3"/>
  <c r="B650" i="3"/>
  <c r="C650" i="3"/>
  <c r="D650" i="3"/>
  <c r="E650" i="3"/>
  <c r="F650" i="3"/>
  <c r="C48" i="4"/>
  <c r="D48" i="4" s="1"/>
  <c r="E48" i="4"/>
  <c r="F48" i="4" s="1"/>
  <c r="G48" i="4"/>
  <c r="H48" i="4"/>
  <c r="I48" i="4"/>
  <c r="J48" i="4"/>
  <c r="K48" i="4"/>
  <c r="L48" i="4"/>
  <c r="H14" i="15"/>
  <c r="G14" i="15"/>
  <c r="D13" i="15"/>
  <c r="C13" i="15"/>
  <c r="M59" i="14"/>
  <c r="K59" i="14"/>
  <c r="I59" i="14"/>
  <c r="G59" i="14"/>
  <c r="L59" i="14"/>
  <c r="J59" i="14"/>
  <c r="H59" i="14"/>
  <c r="F59" i="14"/>
  <c r="E59" i="14"/>
  <c r="D59" i="14"/>
  <c r="Q15" i="10"/>
  <c r="O15" i="10"/>
  <c r="L2" i="10"/>
  <c r="X14" i="8"/>
  <c r="X15" i="8" s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2" i="8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2" i="10"/>
  <c r="R14" i="14"/>
  <c r="C2" i="14"/>
  <c r="B2" i="14"/>
  <c r="M1" i="14"/>
  <c r="L1" i="14"/>
  <c r="K1" i="14"/>
  <c r="J1" i="14"/>
  <c r="I1" i="14"/>
  <c r="H1" i="14"/>
  <c r="G1" i="14"/>
  <c r="F1" i="14"/>
  <c r="E1" i="14"/>
  <c r="D1" i="14"/>
  <c r="K2" i="1"/>
  <c r="J2" i="1"/>
  <c r="W9" i="4"/>
  <c r="W10" i="4" s="1"/>
  <c r="E85" i="14" l="1"/>
  <c r="N81" i="14"/>
  <c r="F74" i="14"/>
  <c r="N66" i="14"/>
  <c r="N73" i="14"/>
  <c r="N68" i="14"/>
  <c r="O74" i="14"/>
  <c r="I74" i="14"/>
  <c r="N67" i="14"/>
  <c r="N74" i="14" s="1"/>
  <c r="N77" i="14"/>
  <c r="O77" i="14"/>
  <c r="O85" i="14" s="1"/>
  <c r="D74" i="14"/>
  <c r="E74" i="14"/>
  <c r="I12" i="8"/>
  <c r="K12" i="8" s="1"/>
  <c r="I13" i="8"/>
  <c r="K13" i="8" s="1"/>
  <c r="I14" i="8"/>
  <c r="K14" i="8" s="1"/>
  <c r="I15" i="8"/>
  <c r="K15" i="8" s="1"/>
  <c r="I16" i="8"/>
  <c r="K16" i="8" s="1"/>
  <c r="I17" i="8"/>
  <c r="K17" i="8" s="1"/>
  <c r="I18" i="8"/>
  <c r="K18" i="8" s="1"/>
  <c r="I19" i="8"/>
  <c r="K19" i="8" s="1"/>
  <c r="I20" i="8"/>
  <c r="K20" i="8" s="1"/>
  <c r="I21" i="8"/>
  <c r="K21" i="8" s="1"/>
  <c r="I22" i="8"/>
  <c r="K22" i="8" s="1"/>
  <c r="I23" i="8"/>
  <c r="K23" i="8" s="1"/>
  <c r="I24" i="8"/>
  <c r="K24" i="8" s="1"/>
  <c r="I25" i="8"/>
  <c r="K25" i="8" s="1"/>
  <c r="I26" i="8"/>
  <c r="K26" i="8" s="1"/>
  <c r="I27" i="8"/>
  <c r="K27" i="8" s="1"/>
  <c r="I28" i="8"/>
  <c r="K28" i="8" s="1"/>
  <c r="I29" i="8"/>
  <c r="K29" i="8" s="1"/>
  <c r="I30" i="8"/>
  <c r="K30" i="8" s="1"/>
  <c r="I31" i="8"/>
  <c r="K31" i="8" s="1"/>
  <c r="I32" i="8"/>
  <c r="K32" i="8" s="1"/>
  <c r="I33" i="8"/>
  <c r="K33" i="8" s="1"/>
  <c r="I34" i="8"/>
  <c r="K34" i="8" s="1"/>
  <c r="I35" i="8"/>
  <c r="K35" i="8" s="1"/>
  <c r="I36" i="8"/>
  <c r="K36" i="8" s="1"/>
  <c r="I37" i="8"/>
  <c r="K37" i="8" s="1"/>
  <c r="I38" i="8"/>
  <c r="K38" i="8" s="1"/>
  <c r="I39" i="8"/>
  <c r="K39" i="8" s="1"/>
  <c r="I40" i="8"/>
  <c r="K40" i="8" s="1"/>
  <c r="I41" i="8"/>
  <c r="K41" i="8" s="1"/>
  <c r="I42" i="8"/>
  <c r="K42" i="8" s="1"/>
  <c r="I43" i="8"/>
  <c r="K43" i="8" s="1"/>
  <c r="I44" i="8"/>
  <c r="K44" i="8" s="1"/>
  <c r="I45" i="8"/>
  <c r="K45" i="8" s="1"/>
  <c r="I46" i="8"/>
  <c r="K46" i="8" s="1"/>
  <c r="I47" i="8"/>
  <c r="K47" i="8" s="1"/>
  <c r="I48" i="8"/>
  <c r="K48" i="8" s="1"/>
  <c r="I49" i="8"/>
  <c r="K49" i="8" s="1"/>
  <c r="I50" i="8"/>
  <c r="K50" i="8" s="1"/>
  <c r="I51" i="8"/>
  <c r="K51" i="8" s="1"/>
  <c r="I52" i="8"/>
  <c r="K52" i="8" s="1"/>
  <c r="I53" i="8"/>
  <c r="K53" i="8" s="1"/>
  <c r="I54" i="8"/>
  <c r="K54" i="8" s="1"/>
  <c r="I55" i="8"/>
  <c r="K55" i="8" s="1"/>
  <c r="I56" i="8"/>
  <c r="K56" i="8" s="1"/>
  <c r="I57" i="8"/>
  <c r="K57" i="8" s="1"/>
  <c r="I58" i="8"/>
  <c r="K58" i="8" s="1"/>
  <c r="I59" i="8"/>
  <c r="K59" i="8" s="1"/>
  <c r="I60" i="8"/>
  <c r="K60" i="8" s="1"/>
  <c r="I61" i="8"/>
  <c r="K61" i="8" s="1"/>
  <c r="I62" i="8"/>
  <c r="K62" i="8" s="1"/>
  <c r="I63" i="8"/>
  <c r="K63" i="8" s="1"/>
  <c r="I64" i="8"/>
  <c r="K64" i="8" s="1"/>
  <c r="I65" i="8"/>
  <c r="K65" i="8" s="1"/>
  <c r="I66" i="8"/>
  <c r="K66" i="8" s="1"/>
  <c r="I67" i="8"/>
  <c r="K67" i="8" s="1"/>
  <c r="I68" i="8"/>
  <c r="K68" i="8" s="1"/>
  <c r="I69" i="8"/>
  <c r="K69" i="8" s="1"/>
  <c r="I70" i="8"/>
  <c r="K70" i="8" s="1"/>
  <c r="I71" i="8"/>
  <c r="K71" i="8" s="1"/>
  <c r="I72" i="8"/>
  <c r="K72" i="8" s="1"/>
  <c r="I73" i="8"/>
  <c r="K73" i="8" s="1"/>
  <c r="I74" i="8"/>
  <c r="K74" i="8" s="1"/>
  <c r="I75" i="8"/>
  <c r="K75" i="8" s="1"/>
  <c r="I76" i="8"/>
  <c r="K76" i="8" s="1"/>
  <c r="I77" i="8"/>
  <c r="K77" i="8" s="1"/>
  <c r="I78" i="8"/>
  <c r="K78" i="8" s="1"/>
  <c r="I79" i="8"/>
  <c r="K79" i="8" s="1"/>
  <c r="I80" i="8"/>
  <c r="K80" i="8" s="1"/>
  <c r="I81" i="8"/>
  <c r="K81" i="8" s="1"/>
  <c r="I82" i="8"/>
  <c r="K82" i="8" s="1"/>
  <c r="I83" i="8"/>
  <c r="K83" i="8" s="1"/>
  <c r="I84" i="8"/>
  <c r="K84" i="8" s="1"/>
  <c r="I85" i="8"/>
  <c r="K85" i="8" s="1"/>
  <c r="I86" i="8"/>
  <c r="K86" i="8" s="1"/>
  <c r="I87" i="8"/>
  <c r="K87" i="8" s="1"/>
  <c r="I88" i="8"/>
  <c r="K88" i="8" s="1"/>
  <c r="I89" i="8"/>
  <c r="K89" i="8" s="1"/>
  <c r="I90" i="8"/>
  <c r="K90" i="8" s="1"/>
  <c r="I91" i="8"/>
  <c r="K91" i="8" s="1"/>
  <c r="I92" i="8"/>
  <c r="K92" i="8" s="1"/>
  <c r="I93" i="8"/>
  <c r="K93" i="8" s="1"/>
  <c r="I94" i="8"/>
  <c r="K94" i="8" s="1"/>
  <c r="I95" i="8"/>
  <c r="K95" i="8" s="1"/>
  <c r="I96" i="8"/>
  <c r="K96" i="8" s="1"/>
  <c r="I97" i="8"/>
  <c r="K97" i="8" s="1"/>
  <c r="I98" i="8"/>
  <c r="K98" i="8" s="1"/>
  <c r="I99" i="8"/>
  <c r="K99" i="8" s="1"/>
  <c r="I100" i="8"/>
  <c r="K100" i="8" s="1"/>
  <c r="I101" i="8"/>
  <c r="K101" i="8" s="1"/>
  <c r="I2" i="8"/>
  <c r="K2" i="8" s="1"/>
  <c r="H2" i="8"/>
  <c r="E25" i="12"/>
  <c r="E24" i="12"/>
  <c r="E23" i="12"/>
  <c r="E22" i="12"/>
  <c r="E21" i="12"/>
  <c r="N85" i="14" l="1"/>
  <c r="D3" i="6"/>
  <c r="E3" i="6"/>
  <c r="F23" i="14" s="1"/>
  <c r="F3" i="6"/>
  <c r="G23" i="14" s="1"/>
  <c r="G3" i="6"/>
  <c r="H23" i="14" s="1"/>
  <c r="H3" i="6"/>
  <c r="I23" i="14" s="1"/>
  <c r="I3" i="6"/>
  <c r="J23" i="14" s="1"/>
  <c r="J3" i="6"/>
  <c r="K23" i="14" s="1"/>
  <c r="K3" i="6"/>
  <c r="L3" i="6"/>
  <c r="D4" i="6"/>
  <c r="E4" i="6"/>
  <c r="F4" i="6"/>
  <c r="G4" i="6"/>
  <c r="H24" i="14" s="1"/>
  <c r="H4" i="6"/>
  <c r="I24" i="14" s="1"/>
  <c r="I4" i="6"/>
  <c r="J24" i="14" s="1"/>
  <c r="J4" i="6"/>
  <c r="K24" i="14" s="1"/>
  <c r="K4" i="6"/>
  <c r="L24" i="14" s="1"/>
  <c r="L4" i="6"/>
  <c r="M24" i="14" s="1"/>
  <c r="D5" i="6"/>
  <c r="E5" i="6"/>
  <c r="F25" i="14" s="1"/>
  <c r="F5" i="6"/>
  <c r="G25" i="14" s="1"/>
  <c r="G5" i="6"/>
  <c r="H25" i="14" s="1"/>
  <c r="H5" i="6"/>
  <c r="I5" i="6"/>
  <c r="J5" i="6"/>
  <c r="K5" i="6"/>
  <c r="L5" i="6"/>
  <c r="D6" i="6"/>
  <c r="E6" i="6"/>
  <c r="F26" i="14" s="1"/>
  <c r="F6" i="6"/>
  <c r="G26" i="14" s="1"/>
  <c r="G6" i="6"/>
  <c r="H26" i="14" s="1"/>
  <c r="H6" i="6"/>
  <c r="I26" i="14" s="1"/>
  <c r="I6" i="6"/>
  <c r="J26" i="14" s="1"/>
  <c r="J6" i="6"/>
  <c r="K26" i="14" s="1"/>
  <c r="K6" i="6"/>
  <c r="L6" i="6"/>
  <c r="D7" i="6"/>
  <c r="E7" i="6"/>
  <c r="F7" i="6"/>
  <c r="G7" i="6"/>
  <c r="H7" i="6"/>
  <c r="I27" i="14" s="1"/>
  <c r="I7" i="6"/>
  <c r="J7" i="6"/>
  <c r="K27" i="14" s="1"/>
  <c r="K7" i="6"/>
  <c r="L7" i="6"/>
  <c r="M27" i="14" s="1"/>
  <c r="D8" i="6"/>
  <c r="E28" i="14" s="1"/>
  <c r="E8" i="6"/>
  <c r="F28" i="14" s="1"/>
  <c r="F8" i="6"/>
  <c r="G28" i="14" s="1"/>
  <c r="G8" i="6"/>
  <c r="H8" i="6"/>
  <c r="I8" i="6"/>
  <c r="J8" i="6"/>
  <c r="K8" i="6"/>
  <c r="L8" i="6"/>
  <c r="D9" i="6"/>
  <c r="E9" i="6"/>
  <c r="F29" i="14" s="1"/>
  <c r="F9" i="6"/>
  <c r="G29" i="14" s="1"/>
  <c r="G9" i="6"/>
  <c r="H29" i="14" s="1"/>
  <c r="H9" i="6"/>
  <c r="I29" i="14" s="1"/>
  <c r="I9" i="6"/>
  <c r="J29" i="14" s="1"/>
  <c r="J9" i="6"/>
  <c r="K29" i="14" s="1"/>
  <c r="K9" i="6"/>
  <c r="L29" i="14" s="1"/>
  <c r="L9" i="6"/>
  <c r="M29" i="14" s="1"/>
  <c r="D10" i="6"/>
  <c r="E30" i="14" s="1"/>
  <c r="E10" i="6"/>
  <c r="F30" i="14" s="1"/>
  <c r="F10" i="6"/>
  <c r="G30" i="14" s="1"/>
  <c r="G10" i="6"/>
  <c r="H10" i="6"/>
  <c r="I10" i="6"/>
  <c r="J30" i="14" s="1"/>
  <c r="J10" i="6"/>
  <c r="K10" i="6"/>
  <c r="L30" i="14" s="1"/>
  <c r="L10" i="6"/>
  <c r="D11" i="6"/>
  <c r="E31" i="14" s="1"/>
  <c r="E11" i="6"/>
  <c r="F31" i="14" s="1"/>
  <c r="F11" i="6"/>
  <c r="G11" i="6"/>
  <c r="H31" i="14" s="1"/>
  <c r="H11" i="6"/>
  <c r="I31" i="14" s="1"/>
  <c r="I11" i="6"/>
  <c r="J31" i="14" s="1"/>
  <c r="J11" i="6"/>
  <c r="K11" i="6"/>
  <c r="L11" i="6"/>
  <c r="D12" i="6"/>
  <c r="E12" i="6"/>
  <c r="F12" i="6"/>
  <c r="G12" i="6"/>
  <c r="H32" i="14" s="1"/>
  <c r="H12" i="6"/>
  <c r="I32" i="14" s="1"/>
  <c r="I12" i="6"/>
  <c r="J32" i="14" s="1"/>
  <c r="J12" i="6"/>
  <c r="K32" i="14" s="1"/>
  <c r="K12" i="6"/>
  <c r="L12" i="6"/>
  <c r="D13" i="6"/>
  <c r="E33" i="14" s="1"/>
  <c r="E13" i="6"/>
  <c r="F13" i="6"/>
  <c r="G33" i="14" s="1"/>
  <c r="G13" i="6"/>
  <c r="H33" i="14" s="1"/>
  <c r="H13" i="6"/>
  <c r="I13" i="6"/>
  <c r="J13" i="6"/>
  <c r="K33" i="14" s="1"/>
  <c r="K13" i="6"/>
  <c r="L33" i="14" s="1"/>
  <c r="L13" i="6"/>
  <c r="M33" i="14" s="1"/>
  <c r="D14" i="6"/>
  <c r="E14" i="6"/>
  <c r="F34" i="14" s="1"/>
  <c r="F14" i="6"/>
  <c r="G34" i="14" s="1"/>
  <c r="G14" i="6"/>
  <c r="H14" i="6"/>
  <c r="I34" i="14" s="1"/>
  <c r="I14" i="6"/>
  <c r="J14" i="6"/>
  <c r="K34" i="14" s="1"/>
  <c r="K14" i="6"/>
  <c r="L14" i="6"/>
  <c r="D15" i="6"/>
  <c r="E15" i="6"/>
  <c r="F35" i="14" s="1"/>
  <c r="F15" i="6"/>
  <c r="F25" i="6" s="1"/>
  <c r="G15" i="6"/>
  <c r="H15" i="6"/>
  <c r="I35" i="14" s="1"/>
  <c r="I15" i="6"/>
  <c r="J35" i="14" s="1"/>
  <c r="J15" i="6"/>
  <c r="K35" i="14" s="1"/>
  <c r="K15" i="6"/>
  <c r="L35" i="14" s="1"/>
  <c r="L15" i="6"/>
  <c r="M35" i="14" s="1"/>
  <c r="D16" i="6"/>
  <c r="E36" i="14" s="1"/>
  <c r="E16" i="6"/>
  <c r="F36" i="14" s="1"/>
  <c r="F16" i="6"/>
  <c r="F26" i="6" s="1"/>
  <c r="G16" i="6"/>
  <c r="H36" i="14" s="1"/>
  <c r="H16" i="6"/>
  <c r="I16" i="6"/>
  <c r="J16" i="6"/>
  <c r="K16" i="6"/>
  <c r="L36" i="14" s="1"/>
  <c r="L16" i="6"/>
  <c r="M36" i="14" s="1"/>
  <c r="D17" i="6"/>
  <c r="E17" i="6"/>
  <c r="F17" i="6"/>
  <c r="G37" i="14" s="1"/>
  <c r="G17" i="6"/>
  <c r="H37" i="14" s="1"/>
  <c r="H17" i="6"/>
  <c r="I17" i="6"/>
  <c r="J37" i="14" s="1"/>
  <c r="J17" i="6"/>
  <c r="K37" i="14" s="1"/>
  <c r="K17" i="6"/>
  <c r="L37" i="14" s="1"/>
  <c r="L17" i="6"/>
  <c r="D18" i="6"/>
  <c r="E18" i="6"/>
  <c r="F18" i="6"/>
  <c r="G18" i="6"/>
  <c r="H38" i="14" s="1"/>
  <c r="H18" i="6"/>
  <c r="I38" i="14" s="1"/>
  <c r="I18" i="6"/>
  <c r="J38" i="14" s="1"/>
  <c r="J18" i="6"/>
  <c r="K38" i="14" s="1"/>
  <c r="K18" i="6"/>
  <c r="L38" i="14" s="1"/>
  <c r="L18" i="6"/>
  <c r="M38" i="14" s="1"/>
  <c r="D19" i="6"/>
  <c r="E39" i="14" s="1"/>
  <c r="E19" i="6"/>
  <c r="F39" i="14" s="1"/>
  <c r="F19" i="6"/>
  <c r="G39" i="14" s="1"/>
  <c r="G19" i="6"/>
  <c r="H39" i="14" s="1"/>
  <c r="H19" i="6"/>
  <c r="I39" i="14" s="1"/>
  <c r="I19" i="6"/>
  <c r="J39" i="14" s="1"/>
  <c r="J19" i="6"/>
  <c r="K19" i="6"/>
  <c r="L19" i="6"/>
  <c r="M39" i="14" s="1"/>
  <c r="D20" i="6"/>
  <c r="E40" i="14" s="1"/>
  <c r="E20" i="6"/>
  <c r="F40" i="14" s="1"/>
  <c r="F20" i="6"/>
  <c r="G40" i="14" s="1"/>
  <c r="G20" i="6"/>
  <c r="H40" i="14" s="1"/>
  <c r="H20" i="6"/>
  <c r="I40" i="14" s="1"/>
  <c r="I20" i="6"/>
  <c r="J20" i="6"/>
  <c r="K40" i="14" s="1"/>
  <c r="K20" i="6"/>
  <c r="L20" i="6"/>
  <c r="M40" i="14" s="1"/>
  <c r="D21" i="6"/>
  <c r="E21" i="6"/>
  <c r="F21" i="6"/>
  <c r="G41" i="14" s="1"/>
  <c r="G21" i="6"/>
  <c r="H41" i="14" s="1"/>
  <c r="H21" i="6"/>
  <c r="I41" i="14" s="1"/>
  <c r="I21" i="6"/>
  <c r="J21" i="6"/>
  <c r="K41" i="14" s="1"/>
  <c r="K21" i="6"/>
  <c r="L41" i="14" s="1"/>
  <c r="L21" i="6"/>
  <c r="M41" i="14" s="1"/>
  <c r="D22" i="6"/>
  <c r="E22" i="6"/>
  <c r="F22" i="6"/>
  <c r="G42" i="14" s="1"/>
  <c r="G22" i="6"/>
  <c r="H42" i="14" s="1"/>
  <c r="H22" i="6"/>
  <c r="I42" i="14" s="1"/>
  <c r="I22" i="6"/>
  <c r="J22" i="6"/>
  <c r="K22" i="6"/>
  <c r="L42" i="14" s="1"/>
  <c r="L22" i="6"/>
  <c r="M42" i="14" s="1"/>
  <c r="C4" i="6"/>
  <c r="C5" i="6"/>
  <c r="C6" i="6"/>
  <c r="D26" i="14" s="1"/>
  <c r="C7" i="6"/>
  <c r="D27" i="14" s="1"/>
  <c r="C8" i="6"/>
  <c r="D28" i="14" s="1"/>
  <c r="C9" i="6"/>
  <c r="D29" i="14" s="1"/>
  <c r="C10" i="6"/>
  <c r="D30" i="14" s="1"/>
  <c r="C11" i="6"/>
  <c r="D31" i="14" s="1"/>
  <c r="C12" i="6"/>
  <c r="D32" i="14" s="1"/>
  <c r="C13" i="6"/>
  <c r="C14" i="6"/>
  <c r="D34" i="14" s="1"/>
  <c r="C15" i="6"/>
  <c r="D35" i="14" s="1"/>
  <c r="C16" i="6"/>
  <c r="C17" i="6"/>
  <c r="D37" i="14" s="1"/>
  <c r="C18" i="6"/>
  <c r="D38" i="14" s="1"/>
  <c r="C19" i="6"/>
  <c r="D39" i="14" s="1"/>
  <c r="C20" i="6"/>
  <c r="D40" i="14" s="1"/>
  <c r="C21" i="6"/>
  <c r="D41" i="14" s="1"/>
  <c r="C22" i="6"/>
  <c r="D42" i="14" s="1"/>
  <c r="C3" i="6"/>
  <c r="D23" i="14" s="1"/>
  <c r="H24" i="6"/>
  <c r="B2" i="6"/>
  <c r="A2" i="6"/>
  <c r="L1" i="6"/>
  <c r="K1" i="6"/>
  <c r="J1" i="6"/>
  <c r="I1" i="6"/>
  <c r="H1" i="6"/>
  <c r="G1" i="6"/>
  <c r="F1" i="6"/>
  <c r="E1" i="6"/>
  <c r="D1" i="6"/>
  <c r="C1" i="6"/>
  <c r="D3" i="5"/>
  <c r="E3" i="14" s="1"/>
  <c r="E3" i="5"/>
  <c r="F3" i="14" s="1"/>
  <c r="F3" i="5"/>
  <c r="G3" i="5"/>
  <c r="H3" i="5"/>
  <c r="I3" i="5"/>
  <c r="J3" i="14" s="1"/>
  <c r="J3" i="5"/>
  <c r="K3" i="5"/>
  <c r="L3" i="14" s="1"/>
  <c r="L3" i="5"/>
  <c r="M3" i="14" s="1"/>
  <c r="D4" i="5"/>
  <c r="E4" i="14" s="1"/>
  <c r="E4" i="5"/>
  <c r="F4" i="5"/>
  <c r="G4" i="5"/>
  <c r="H4" i="5"/>
  <c r="I4" i="5"/>
  <c r="J4" i="5"/>
  <c r="K4" i="14" s="1"/>
  <c r="K4" i="5"/>
  <c r="L4" i="5"/>
  <c r="M4" i="14" s="1"/>
  <c r="D5" i="5"/>
  <c r="E5" i="14" s="1"/>
  <c r="E5" i="5"/>
  <c r="F5" i="5"/>
  <c r="G5" i="14" s="1"/>
  <c r="G5" i="5"/>
  <c r="H5" i="14" s="1"/>
  <c r="H5" i="5"/>
  <c r="I5" i="14" s="1"/>
  <c r="I5" i="5"/>
  <c r="J5" i="5"/>
  <c r="K5" i="5"/>
  <c r="L5" i="5"/>
  <c r="D6" i="5"/>
  <c r="E6" i="5"/>
  <c r="F6" i="14" s="1"/>
  <c r="F6" i="5"/>
  <c r="G6" i="14" s="1"/>
  <c r="G6" i="5"/>
  <c r="H6" i="14" s="1"/>
  <c r="H6" i="5"/>
  <c r="I6" i="14" s="1"/>
  <c r="I6" i="5"/>
  <c r="J6" i="14" s="1"/>
  <c r="J6" i="5"/>
  <c r="K6" i="14" s="1"/>
  <c r="K6" i="5"/>
  <c r="L6" i="14" s="1"/>
  <c r="L6" i="5"/>
  <c r="M6" i="14" s="1"/>
  <c r="D7" i="5"/>
  <c r="E7" i="14" s="1"/>
  <c r="E7" i="5"/>
  <c r="F7" i="14" s="1"/>
  <c r="F7" i="5"/>
  <c r="G7" i="14" s="1"/>
  <c r="G7" i="5"/>
  <c r="H7" i="14" s="1"/>
  <c r="H7" i="5"/>
  <c r="I7" i="5"/>
  <c r="J7" i="5"/>
  <c r="K7" i="5"/>
  <c r="L7" i="5"/>
  <c r="D8" i="5"/>
  <c r="E8" i="5"/>
  <c r="F8" i="5"/>
  <c r="G8" i="5"/>
  <c r="H8" i="5"/>
  <c r="I8" i="5"/>
  <c r="J8" i="5"/>
  <c r="K8" i="5"/>
  <c r="L8" i="5"/>
  <c r="D9" i="5"/>
  <c r="E9" i="5"/>
  <c r="F9" i="14" s="1"/>
  <c r="F9" i="5"/>
  <c r="G9" i="14" s="1"/>
  <c r="G9" i="5"/>
  <c r="H9" i="14" s="1"/>
  <c r="H9" i="5"/>
  <c r="I9" i="14" s="1"/>
  <c r="I9" i="5"/>
  <c r="J9" i="14" s="1"/>
  <c r="J9" i="5"/>
  <c r="K9" i="14" s="1"/>
  <c r="K9" i="5"/>
  <c r="L9" i="14" s="1"/>
  <c r="L9" i="5"/>
  <c r="M9" i="14" s="1"/>
  <c r="D10" i="5"/>
  <c r="E10" i="14" s="1"/>
  <c r="E10" i="5"/>
  <c r="F10" i="14" s="1"/>
  <c r="F10" i="5"/>
  <c r="G10" i="14" s="1"/>
  <c r="G10" i="5"/>
  <c r="H10" i="14" s="1"/>
  <c r="H10" i="5"/>
  <c r="I10" i="14" s="1"/>
  <c r="I10" i="5"/>
  <c r="J10" i="14" s="1"/>
  <c r="J10" i="5"/>
  <c r="K10" i="14" s="1"/>
  <c r="K10" i="5"/>
  <c r="L10" i="14" s="1"/>
  <c r="L10" i="5"/>
  <c r="M10" i="14" s="1"/>
  <c r="D11" i="5"/>
  <c r="E11" i="5"/>
  <c r="F11" i="5"/>
  <c r="G11" i="5"/>
  <c r="H11" i="5"/>
  <c r="I11" i="5"/>
  <c r="J11" i="14" s="1"/>
  <c r="J11" i="5"/>
  <c r="K11" i="5"/>
  <c r="L11" i="5"/>
  <c r="D12" i="5"/>
  <c r="E12" i="14" s="1"/>
  <c r="E12" i="5"/>
  <c r="F12" i="5"/>
  <c r="G12" i="5"/>
  <c r="H12" i="14" s="1"/>
  <c r="H12" i="5"/>
  <c r="I12" i="5"/>
  <c r="J12" i="5"/>
  <c r="K12" i="5"/>
  <c r="L12" i="5"/>
  <c r="M12" i="14" s="1"/>
  <c r="D13" i="5"/>
  <c r="E13" i="5"/>
  <c r="F13" i="14" s="1"/>
  <c r="F13" i="5"/>
  <c r="G13" i="14" s="1"/>
  <c r="G13" i="5"/>
  <c r="H13" i="14" s="1"/>
  <c r="H13" i="5"/>
  <c r="I13" i="14" s="1"/>
  <c r="I13" i="5"/>
  <c r="J13" i="5"/>
  <c r="K13" i="5"/>
  <c r="L13" i="5"/>
  <c r="M13" i="14" s="1"/>
  <c r="D14" i="5"/>
  <c r="E14" i="5"/>
  <c r="F14" i="5"/>
  <c r="G14" i="5"/>
  <c r="H14" i="5"/>
  <c r="I14" i="5"/>
  <c r="J14" i="14" s="1"/>
  <c r="J14" i="5"/>
  <c r="K14" i="14" s="1"/>
  <c r="K14" i="5"/>
  <c r="L14" i="14" s="1"/>
  <c r="L14" i="5"/>
  <c r="M14" i="14" s="1"/>
  <c r="D15" i="5"/>
  <c r="E15" i="14" s="1"/>
  <c r="E15" i="5"/>
  <c r="F15" i="14" s="1"/>
  <c r="F15" i="5"/>
  <c r="G15" i="5"/>
  <c r="H15" i="5"/>
  <c r="I15" i="14" s="1"/>
  <c r="I15" i="5"/>
  <c r="J15" i="14" s="1"/>
  <c r="J15" i="5"/>
  <c r="K15" i="14" s="1"/>
  <c r="K15" i="5"/>
  <c r="L15" i="14" s="1"/>
  <c r="L15" i="5"/>
  <c r="M15" i="14" s="1"/>
  <c r="D16" i="5"/>
  <c r="E16" i="14" s="1"/>
  <c r="E16" i="5"/>
  <c r="F16" i="14" s="1"/>
  <c r="F16" i="5"/>
  <c r="G16" i="14" s="1"/>
  <c r="G16" i="5"/>
  <c r="H16" i="14" s="1"/>
  <c r="H16" i="5"/>
  <c r="I16" i="14" s="1"/>
  <c r="I16" i="5"/>
  <c r="J16" i="14" s="1"/>
  <c r="J16" i="5"/>
  <c r="K16" i="14" s="1"/>
  <c r="K16" i="5"/>
  <c r="L16" i="14" s="1"/>
  <c r="L16" i="5"/>
  <c r="M16" i="14" s="1"/>
  <c r="D17" i="5"/>
  <c r="E17" i="14" s="1"/>
  <c r="E17" i="5"/>
  <c r="F17" i="5"/>
  <c r="G17" i="5"/>
  <c r="H17" i="5"/>
  <c r="I17" i="14" s="1"/>
  <c r="I17" i="5"/>
  <c r="J17" i="14" s="1"/>
  <c r="J17" i="5"/>
  <c r="K17" i="14" s="1"/>
  <c r="K17" i="5"/>
  <c r="L17" i="14" s="1"/>
  <c r="L17" i="5"/>
  <c r="D18" i="5"/>
  <c r="E18" i="5"/>
  <c r="F18" i="14" s="1"/>
  <c r="F18" i="5"/>
  <c r="G18" i="14" s="1"/>
  <c r="G18" i="5"/>
  <c r="H18" i="14" s="1"/>
  <c r="H18" i="5"/>
  <c r="I18" i="14" s="1"/>
  <c r="I18" i="5"/>
  <c r="J18" i="14" s="1"/>
  <c r="J18" i="5"/>
  <c r="K18" i="14" s="1"/>
  <c r="K18" i="5"/>
  <c r="L18" i="14" s="1"/>
  <c r="L18" i="5"/>
  <c r="M18" i="14" s="1"/>
  <c r="D19" i="5"/>
  <c r="E19" i="14" s="1"/>
  <c r="E19" i="5"/>
  <c r="F19" i="14" s="1"/>
  <c r="F19" i="5"/>
  <c r="G19" i="14" s="1"/>
  <c r="G19" i="5"/>
  <c r="H19" i="14" s="1"/>
  <c r="H19" i="5"/>
  <c r="I19" i="14" s="1"/>
  <c r="I19" i="5"/>
  <c r="J19" i="14" s="1"/>
  <c r="J19" i="5"/>
  <c r="K19" i="14" s="1"/>
  <c r="K19" i="5"/>
  <c r="L19" i="14" s="1"/>
  <c r="L19" i="5"/>
  <c r="M19" i="14" s="1"/>
  <c r="D20" i="5"/>
  <c r="E20" i="14" s="1"/>
  <c r="E20" i="5"/>
  <c r="F20" i="5"/>
  <c r="G20" i="5"/>
  <c r="H20" i="14" s="1"/>
  <c r="H20" i="5"/>
  <c r="I20" i="14" s="1"/>
  <c r="I20" i="5"/>
  <c r="J20" i="5"/>
  <c r="K20" i="5"/>
  <c r="L20" i="5"/>
  <c r="D21" i="5"/>
  <c r="E21" i="5"/>
  <c r="F21" i="5"/>
  <c r="G21" i="14" s="1"/>
  <c r="G21" i="5"/>
  <c r="H21" i="14" s="1"/>
  <c r="H21" i="5"/>
  <c r="I21" i="14" s="1"/>
  <c r="I21" i="5"/>
  <c r="J21" i="14" s="1"/>
  <c r="J21" i="5"/>
  <c r="K21" i="14" s="1"/>
  <c r="K21" i="5"/>
  <c r="L21" i="14" s="1"/>
  <c r="L21" i="5"/>
  <c r="M21" i="14" s="1"/>
  <c r="D22" i="5"/>
  <c r="E22" i="14" s="1"/>
  <c r="E22" i="5"/>
  <c r="F22" i="14" s="1"/>
  <c r="F22" i="5"/>
  <c r="G22" i="14" s="1"/>
  <c r="G22" i="5"/>
  <c r="H22" i="14" s="1"/>
  <c r="H22" i="5"/>
  <c r="I22" i="14" s="1"/>
  <c r="I22" i="5"/>
  <c r="J22" i="14" s="1"/>
  <c r="J22" i="5"/>
  <c r="K22" i="14" s="1"/>
  <c r="K22" i="5"/>
  <c r="L22" i="14" s="1"/>
  <c r="L22" i="5"/>
  <c r="C4" i="5"/>
  <c r="D4" i="14" s="1"/>
  <c r="C5" i="5"/>
  <c r="D5" i="14" s="1"/>
  <c r="C6" i="5"/>
  <c r="D6" i="14" s="1"/>
  <c r="C7" i="5"/>
  <c r="D7" i="14" s="1"/>
  <c r="C8" i="5"/>
  <c r="C9" i="5"/>
  <c r="C10" i="5"/>
  <c r="D10" i="14" s="1"/>
  <c r="C11" i="5"/>
  <c r="C12" i="5"/>
  <c r="D12" i="14" s="1"/>
  <c r="C13" i="5"/>
  <c r="C14" i="5"/>
  <c r="C15" i="5"/>
  <c r="D15" i="14" s="1"/>
  <c r="C16" i="5"/>
  <c r="C17" i="5"/>
  <c r="D17" i="14" s="1"/>
  <c r="C18" i="5"/>
  <c r="D18" i="14" s="1"/>
  <c r="C19" i="5"/>
  <c r="D19" i="14" s="1"/>
  <c r="C20" i="5"/>
  <c r="D20" i="14" s="1"/>
  <c r="C21" i="5"/>
  <c r="D21" i="14" s="1"/>
  <c r="C22" i="5"/>
  <c r="D22" i="14" s="1"/>
  <c r="C3" i="5"/>
  <c r="D3" i="14" s="1"/>
  <c r="L29" i="5"/>
  <c r="K29" i="5"/>
  <c r="N17" i="5"/>
  <c r="O17" i="14" s="1"/>
  <c r="H29" i="5"/>
  <c r="B2" i="5"/>
  <c r="A2" i="5"/>
  <c r="L1" i="5"/>
  <c r="K1" i="5"/>
  <c r="J1" i="5"/>
  <c r="I1" i="5"/>
  <c r="H1" i="5"/>
  <c r="G1" i="5"/>
  <c r="F1" i="5"/>
  <c r="E1" i="5"/>
  <c r="D1" i="5"/>
  <c r="C1" i="5"/>
  <c r="L1" i="4"/>
  <c r="D3" i="4"/>
  <c r="E3" i="4"/>
  <c r="F3" i="4"/>
  <c r="G3" i="4"/>
  <c r="H3" i="4"/>
  <c r="I3" i="4"/>
  <c r="J3" i="4"/>
  <c r="K3" i="4"/>
  <c r="L3" i="4"/>
  <c r="D4" i="4"/>
  <c r="E4" i="4"/>
  <c r="F4" i="4"/>
  <c r="G4" i="4"/>
  <c r="H4" i="4"/>
  <c r="I4" i="4"/>
  <c r="J4" i="4"/>
  <c r="K4" i="4"/>
  <c r="L4" i="4"/>
  <c r="D5" i="4"/>
  <c r="E5" i="4"/>
  <c r="F5" i="4"/>
  <c r="G5" i="4"/>
  <c r="H5" i="4"/>
  <c r="I5" i="4"/>
  <c r="J5" i="4"/>
  <c r="K5" i="4"/>
  <c r="L5" i="4"/>
  <c r="D6" i="4"/>
  <c r="E6" i="4"/>
  <c r="F6" i="4"/>
  <c r="G6" i="4"/>
  <c r="H6" i="4"/>
  <c r="I6" i="4"/>
  <c r="J6" i="4"/>
  <c r="K6" i="4"/>
  <c r="L6" i="4"/>
  <c r="D7" i="4"/>
  <c r="E7" i="4"/>
  <c r="F7" i="4"/>
  <c r="G7" i="4"/>
  <c r="H7" i="4"/>
  <c r="I7" i="4"/>
  <c r="J7" i="4"/>
  <c r="K7" i="4"/>
  <c r="L7" i="4"/>
  <c r="D8" i="4"/>
  <c r="E8" i="4"/>
  <c r="F8" i="4"/>
  <c r="G8" i="4"/>
  <c r="H8" i="4"/>
  <c r="I8" i="4"/>
  <c r="J8" i="4"/>
  <c r="K8" i="4"/>
  <c r="L8" i="4"/>
  <c r="D9" i="4"/>
  <c r="E9" i="4"/>
  <c r="F9" i="4"/>
  <c r="G9" i="4"/>
  <c r="H9" i="4"/>
  <c r="I9" i="4"/>
  <c r="J9" i="4"/>
  <c r="K9" i="4"/>
  <c r="L9" i="4"/>
  <c r="D10" i="4"/>
  <c r="E10" i="4"/>
  <c r="F10" i="4"/>
  <c r="G10" i="4"/>
  <c r="H10" i="4"/>
  <c r="I10" i="4"/>
  <c r="J10" i="4"/>
  <c r="K10" i="4"/>
  <c r="L10" i="4"/>
  <c r="D11" i="4"/>
  <c r="E11" i="4"/>
  <c r="F11" i="4"/>
  <c r="G11" i="4"/>
  <c r="H11" i="4"/>
  <c r="I11" i="4"/>
  <c r="J11" i="4"/>
  <c r="K11" i="4"/>
  <c r="L11" i="4"/>
  <c r="D12" i="4"/>
  <c r="E12" i="4"/>
  <c r="F12" i="4"/>
  <c r="G12" i="4"/>
  <c r="H12" i="4"/>
  <c r="I12" i="4"/>
  <c r="J12" i="4"/>
  <c r="K12" i="4"/>
  <c r="L12" i="4"/>
  <c r="D13" i="4"/>
  <c r="E13" i="4"/>
  <c r="F13" i="4"/>
  <c r="G13" i="4"/>
  <c r="H13" i="4"/>
  <c r="I13" i="4"/>
  <c r="J13" i="4"/>
  <c r="K13" i="4"/>
  <c r="L13" i="4"/>
  <c r="D14" i="4"/>
  <c r="E14" i="4"/>
  <c r="F14" i="4"/>
  <c r="G14" i="4"/>
  <c r="H14" i="4"/>
  <c r="I14" i="4"/>
  <c r="J14" i="4"/>
  <c r="K14" i="4"/>
  <c r="L14" i="4"/>
  <c r="D15" i="4"/>
  <c r="E15" i="4"/>
  <c r="F15" i="4"/>
  <c r="G15" i="4"/>
  <c r="H15" i="4"/>
  <c r="I15" i="4"/>
  <c r="J15" i="4"/>
  <c r="K15" i="4"/>
  <c r="L15" i="4"/>
  <c r="D16" i="4"/>
  <c r="E16" i="4"/>
  <c r="F16" i="4"/>
  <c r="G16" i="4"/>
  <c r="H16" i="4"/>
  <c r="I16" i="4"/>
  <c r="J16" i="4"/>
  <c r="K16" i="4"/>
  <c r="L16" i="4"/>
  <c r="D17" i="4"/>
  <c r="E17" i="4"/>
  <c r="F17" i="4"/>
  <c r="G17" i="4"/>
  <c r="H17" i="4"/>
  <c r="I17" i="4"/>
  <c r="J17" i="4"/>
  <c r="K17" i="4"/>
  <c r="L17" i="4"/>
  <c r="D18" i="4"/>
  <c r="E18" i="4"/>
  <c r="F18" i="4"/>
  <c r="G18" i="4"/>
  <c r="H18" i="4"/>
  <c r="I18" i="4"/>
  <c r="J18" i="4"/>
  <c r="K18" i="4"/>
  <c r="L18" i="4"/>
  <c r="D19" i="4"/>
  <c r="E19" i="4"/>
  <c r="F19" i="4"/>
  <c r="G19" i="4"/>
  <c r="H19" i="4"/>
  <c r="I19" i="4"/>
  <c r="J19" i="4"/>
  <c r="K19" i="4"/>
  <c r="L19" i="4"/>
  <c r="D20" i="4"/>
  <c r="E20" i="4"/>
  <c r="F20" i="4"/>
  <c r="G20" i="4"/>
  <c r="H20" i="4"/>
  <c r="I20" i="4"/>
  <c r="J20" i="4"/>
  <c r="K20" i="4"/>
  <c r="L20" i="4"/>
  <c r="D21" i="4"/>
  <c r="E21" i="4"/>
  <c r="F21" i="4"/>
  <c r="G21" i="4"/>
  <c r="H21" i="4"/>
  <c r="I21" i="4"/>
  <c r="J21" i="4"/>
  <c r="K21" i="4"/>
  <c r="L21" i="4"/>
  <c r="D22" i="4"/>
  <c r="E22" i="4"/>
  <c r="F22" i="4"/>
  <c r="G22" i="4"/>
  <c r="H22" i="4"/>
  <c r="I22" i="4"/>
  <c r="J22" i="4"/>
  <c r="K22" i="4"/>
  <c r="L2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10" i="11"/>
  <c r="C3" i="11"/>
  <c r="K59" i="4" l="1"/>
  <c r="K70" i="4"/>
  <c r="I53" i="4"/>
  <c r="I64" i="4"/>
  <c r="J59" i="4"/>
  <c r="J70" i="4"/>
  <c r="I56" i="4"/>
  <c r="I67" i="4"/>
  <c r="C53" i="4"/>
  <c r="C64" i="4"/>
  <c r="J62" i="4"/>
  <c r="J73" i="4"/>
  <c r="H56" i="4"/>
  <c r="H67" i="4"/>
  <c r="I62" i="4"/>
  <c r="I73" i="4"/>
  <c r="G56" i="4"/>
  <c r="G67" i="4"/>
  <c r="C59" i="4"/>
  <c r="C70" i="4"/>
  <c r="E61" i="4"/>
  <c r="E72" i="4"/>
  <c r="D58" i="4"/>
  <c r="D69" i="4"/>
  <c r="L54" i="4"/>
  <c r="L65" i="4"/>
  <c r="C58" i="4"/>
  <c r="M58" i="4" s="1"/>
  <c r="C69" i="4"/>
  <c r="M69" i="4" s="1"/>
  <c r="D61" i="4"/>
  <c r="D72" i="4"/>
  <c r="L57" i="4"/>
  <c r="L68" i="4"/>
  <c r="K54" i="4"/>
  <c r="K65" i="4"/>
  <c r="C57" i="4"/>
  <c r="C68" i="4"/>
  <c r="L60" i="4"/>
  <c r="L71" i="4"/>
  <c r="K57" i="4"/>
  <c r="K68" i="4"/>
  <c r="J54" i="4"/>
  <c r="J65" i="4"/>
  <c r="C56" i="4"/>
  <c r="C67" i="4"/>
  <c r="K60" i="4"/>
  <c r="K71" i="4"/>
  <c r="J57" i="4"/>
  <c r="J68" i="4"/>
  <c r="I54" i="4"/>
  <c r="I65" i="4"/>
  <c r="C55" i="4"/>
  <c r="C66" i="4"/>
  <c r="J60" i="4"/>
  <c r="J71" i="4"/>
  <c r="I57" i="4"/>
  <c r="I68" i="4"/>
  <c r="H54" i="4"/>
  <c r="H65" i="4"/>
  <c r="C54" i="4"/>
  <c r="C65" i="4"/>
  <c r="I60" i="4"/>
  <c r="I71" i="4"/>
  <c r="H57" i="4"/>
  <c r="H68" i="4"/>
  <c r="G54" i="4"/>
  <c r="G65" i="4"/>
  <c r="H71" i="4"/>
  <c r="G68" i="4"/>
  <c r="F65" i="4"/>
  <c r="G71" i="4"/>
  <c r="F68" i="4"/>
  <c r="E65" i="4"/>
  <c r="F71" i="4"/>
  <c r="E68" i="4"/>
  <c r="D65" i="4"/>
  <c r="E71" i="4"/>
  <c r="D68" i="4"/>
  <c r="L64" i="4"/>
  <c r="D71" i="4"/>
  <c r="L67" i="4"/>
  <c r="K64" i="4"/>
  <c r="L70" i="4"/>
  <c r="K67" i="4"/>
  <c r="J64" i="4"/>
  <c r="L62" i="4"/>
  <c r="L73" i="4"/>
  <c r="J56" i="4"/>
  <c r="J67" i="4"/>
  <c r="K62" i="4"/>
  <c r="K73" i="4"/>
  <c r="H53" i="4"/>
  <c r="H64" i="4"/>
  <c r="I59" i="4"/>
  <c r="I70" i="4"/>
  <c r="G53" i="4"/>
  <c r="G64" i="4"/>
  <c r="H59" i="4"/>
  <c r="H70" i="4"/>
  <c r="F53" i="4"/>
  <c r="F64" i="4"/>
  <c r="H62" i="4"/>
  <c r="H73" i="4"/>
  <c r="G59" i="4"/>
  <c r="G70" i="4"/>
  <c r="F56" i="4"/>
  <c r="F67" i="4"/>
  <c r="E53" i="4"/>
  <c r="E64" i="4"/>
  <c r="G62" i="4"/>
  <c r="G73" i="4"/>
  <c r="F59" i="4"/>
  <c r="F70" i="4"/>
  <c r="E56" i="4"/>
  <c r="E67" i="4"/>
  <c r="D53" i="4"/>
  <c r="D64" i="4"/>
  <c r="F73" i="4"/>
  <c r="E70" i="4"/>
  <c r="D67" i="4"/>
  <c r="E73" i="4"/>
  <c r="D70" i="4"/>
  <c r="L66" i="4"/>
  <c r="D73" i="4"/>
  <c r="L69" i="4"/>
  <c r="K66" i="4"/>
  <c r="L72" i="4"/>
  <c r="K69" i="4"/>
  <c r="J66" i="4"/>
  <c r="K72" i="4"/>
  <c r="J69" i="4"/>
  <c r="I66" i="4"/>
  <c r="J72" i="4"/>
  <c r="I69" i="4"/>
  <c r="H66" i="4"/>
  <c r="I61" i="4"/>
  <c r="I72" i="4"/>
  <c r="H58" i="4"/>
  <c r="H69" i="4"/>
  <c r="G55" i="4"/>
  <c r="G66" i="4"/>
  <c r="C73" i="4"/>
  <c r="H61" i="4"/>
  <c r="H72" i="4"/>
  <c r="G58" i="4"/>
  <c r="G69" i="4"/>
  <c r="F55" i="4"/>
  <c r="F66" i="4"/>
  <c r="C72" i="4"/>
  <c r="G72" i="4"/>
  <c r="F69" i="4"/>
  <c r="E66" i="4"/>
  <c r="C71" i="4"/>
  <c r="F72" i="4"/>
  <c r="E69" i="4"/>
  <c r="D66" i="4"/>
  <c r="E54" i="4"/>
  <c r="H60" i="4"/>
  <c r="G57" i="4"/>
  <c r="F54" i="4"/>
  <c r="G60" i="4"/>
  <c r="F57" i="4"/>
  <c r="F60" i="4"/>
  <c r="E57" i="4"/>
  <c r="D54" i="4"/>
  <c r="E60" i="4"/>
  <c r="D57" i="4"/>
  <c r="N57" i="4" s="1"/>
  <c r="L53" i="4"/>
  <c r="D60" i="4"/>
  <c r="N60" i="4" s="1"/>
  <c r="L56" i="4"/>
  <c r="K53" i="4"/>
  <c r="L59" i="4"/>
  <c r="K56" i="4"/>
  <c r="J53" i="4"/>
  <c r="E62" i="4"/>
  <c r="D59" i="4"/>
  <c r="L55" i="4"/>
  <c r="E59" i="4"/>
  <c r="D62" i="4"/>
  <c r="L58" i="4"/>
  <c r="K55" i="4"/>
  <c r="F62" i="4"/>
  <c r="D56" i="4"/>
  <c r="L61" i="4"/>
  <c r="K58" i="4"/>
  <c r="J55" i="4"/>
  <c r="K61" i="4"/>
  <c r="J58" i="4"/>
  <c r="I55" i="4"/>
  <c r="J61" i="4"/>
  <c r="I58" i="4"/>
  <c r="H55" i="4"/>
  <c r="C62" i="4"/>
  <c r="C61" i="4"/>
  <c r="G61" i="4"/>
  <c r="F58" i="4"/>
  <c r="E55" i="4"/>
  <c r="C60" i="4"/>
  <c r="F61" i="4"/>
  <c r="E58" i="4"/>
  <c r="D55" i="4"/>
  <c r="I23" i="5"/>
  <c r="M20" i="6"/>
  <c r="N40" i="14" s="1"/>
  <c r="E25" i="5"/>
  <c r="L36" i="4"/>
  <c r="L39" i="4" s="1"/>
  <c r="L45" i="4" s="1"/>
  <c r="N3" i="5"/>
  <c r="O3" i="14" s="1"/>
  <c r="M22" i="5"/>
  <c r="N22" i="14" s="1"/>
  <c r="C24" i="5"/>
  <c r="E25" i="6"/>
  <c r="K36" i="4"/>
  <c r="K39" i="4" s="1"/>
  <c r="K45" i="4" s="1"/>
  <c r="E26" i="5"/>
  <c r="F26" i="5"/>
  <c r="E26" i="6"/>
  <c r="G26" i="5"/>
  <c r="E29" i="6"/>
  <c r="C31" i="6"/>
  <c r="H26" i="5"/>
  <c r="N22" i="5"/>
  <c r="O22" i="14" s="1"/>
  <c r="N9" i="5"/>
  <c r="O9" i="14" s="1"/>
  <c r="M19" i="6"/>
  <c r="N39" i="14" s="1"/>
  <c r="N19" i="6"/>
  <c r="O39" i="14" s="1"/>
  <c r="N3" i="6"/>
  <c r="O23" i="14" s="1"/>
  <c r="C31" i="5"/>
  <c r="D11" i="14"/>
  <c r="C28" i="5"/>
  <c r="D8" i="14"/>
  <c r="F27" i="5"/>
  <c r="G17" i="14"/>
  <c r="E36" i="5"/>
  <c r="F14" i="14"/>
  <c r="N11" i="5"/>
  <c r="O11" i="14" s="1"/>
  <c r="E11" i="14"/>
  <c r="N7" i="5"/>
  <c r="O7" i="14" s="1"/>
  <c r="M7" i="14"/>
  <c r="K35" i="5"/>
  <c r="L4" i="14"/>
  <c r="L46" i="14" s="1"/>
  <c r="I24" i="6"/>
  <c r="C35" i="6"/>
  <c r="D25" i="14"/>
  <c r="J30" i="6"/>
  <c r="K30" i="14"/>
  <c r="I27" i="6"/>
  <c r="J27" i="14"/>
  <c r="J36" i="4"/>
  <c r="J39" i="4" s="1"/>
  <c r="J45" i="4" s="1"/>
  <c r="N5" i="5"/>
  <c r="O5" i="14" s="1"/>
  <c r="D23" i="5"/>
  <c r="F30" i="5"/>
  <c r="G20" i="14"/>
  <c r="E27" i="5"/>
  <c r="F17" i="14"/>
  <c r="F47" i="14" s="1"/>
  <c r="F50" i="14" s="1"/>
  <c r="F56" i="14" s="1"/>
  <c r="D24" i="5"/>
  <c r="E14" i="14"/>
  <c r="K27" i="5"/>
  <c r="L7" i="14"/>
  <c r="E23" i="6"/>
  <c r="J24" i="6"/>
  <c r="C24" i="6"/>
  <c r="D24" i="14"/>
  <c r="I36" i="4"/>
  <c r="I39" i="4" s="1"/>
  <c r="I45" i="4" s="1"/>
  <c r="E23" i="5"/>
  <c r="E30" i="5"/>
  <c r="F20" i="14"/>
  <c r="J27" i="5"/>
  <c r="K7" i="14"/>
  <c r="I35" i="5"/>
  <c r="J4" i="14"/>
  <c r="K24" i="6"/>
  <c r="K29" i="6"/>
  <c r="L39" i="14"/>
  <c r="J26" i="6"/>
  <c r="K36" i="14"/>
  <c r="I36" i="6"/>
  <c r="J33" i="14"/>
  <c r="H30" i="6"/>
  <c r="I30" i="14"/>
  <c r="G27" i="6"/>
  <c r="H27" i="14"/>
  <c r="F24" i="6"/>
  <c r="G24" i="14"/>
  <c r="H36" i="4"/>
  <c r="H39" i="4" s="1"/>
  <c r="H45" i="4" s="1"/>
  <c r="K36" i="5"/>
  <c r="L13" i="14"/>
  <c r="I27" i="5"/>
  <c r="J7" i="14"/>
  <c r="H24" i="5"/>
  <c r="I4" i="14"/>
  <c r="G23" i="6"/>
  <c r="L24" i="6"/>
  <c r="J29" i="6"/>
  <c r="K39" i="14"/>
  <c r="I26" i="6"/>
  <c r="J36" i="14"/>
  <c r="H23" i="6"/>
  <c r="I33" i="14"/>
  <c r="G30" i="6"/>
  <c r="H30" i="14"/>
  <c r="F27" i="6"/>
  <c r="G27" i="14"/>
  <c r="E24" i="6"/>
  <c r="F24" i="14"/>
  <c r="N14" i="6"/>
  <c r="O34" i="14" s="1"/>
  <c r="E34" i="14"/>
  <c r="G27" i="5"/>
  <c r="H17" i="14"/>
  <c r="F36" i="5"/>
  <c r="G14" i="14"/>
  <c r="E31" i="5"/>
  <c r="F11" i="14"/>
  <c r="D28" i="5"/>
  <c r="E8" i="14"/>
  <c r="J24" i="5"/>
  <c r="K26" i="6"/>
  <c r="L26" i="14"/>
  <c r="G26" i="6"/>
  <c r="G32" i="6"/>
  <c r="E28" i="5"/>
  <c r="F8" i="14"/>
  <c r="F30" i="6"/>
  <c r="I35" i="4"/>
  <c r="I38" i="4" s="1"/>
  <c r="I44" i="4" s="1"/>
  <c r="J26" i="5"/>
  <c r="H25" i="5"/>
  <c r="L32" i="6"/>
  <c r="M32" i="14"/>
  <c r="H35" i="4"/>
  <c r="H38" i="4" s="1"/>
  <c r="H44" i="4" s="1"/>
  <c r="M7" i="5"/>
  <c r="N7" i="14" s="1"/>
  <c r="K26" i="5"/>
  <c r="J27" i="6"/>
  <c r="H32" i="6"/>
  <c r="M22" i="6"/>
  <c r="N42" i="14" s="1"/>
  <c r="F42" i="14"/>
  <c r="K32" i="6"/>
  <c r="L32" i="14"/>
  <c r="H27" i="6"/>
  <c r="I37" i="14"/>
  <c r="N17" i="6"/>
  <c r="O37" i="14" s="1"/>
  <c r="E37" i="14"/>
  <c r="G36" i="4"/>
  <c r="G39" i="4" s="1"/>
  <c r="G45" i="4" s="1"/>
  <c r="J32" i="6"/>
  <c r="K42" i="14"/>
  <c r="N16" i="5"/>
  <c r="O16" i="14" s="1"/>
  <c r="G24" i="6"/>
  <c r="H34" i="14"/>
  <c r="K30" i="5"/>
  <c r="L20" i="14"/>
  <c r="G36" i="5"/>
  <c r="H14" i="14"/>
  <c r="L30" i="6"/>
  <c r="M30" i="14"/>
  <c r="N7" i="6"/>
  <c r="O27" i="14" s="1"/>
  <c r="E27" i="14"/>
  <c r="K24" i="5"/>
  <c r="I26" i="5"/>
  <c r="L24" i="5"/>
  <c r="J29" i="5"/>
  <c r="D30" i="5"/>
  <c r="M5" i="5"/>
  <c r="N5" i="14" s="1"/>
  <c r="F5" i="14"/>
  <c r="M20" i="5"/>
  <c r="N20" i="14" s="1"/>
  <c r="J20" i="14"/>
  <c r="F31" i="5"/>
  <c r="G11" i="14"/>
  <c r="K27" i="6"/>
  <c r="L27" i="14"/>
  <c r="G24" i="5"/>
  <c r="H4" i="14"/>
  <c r="C30" i="6"/>
  <c r="H26" i="6"/>
  <c r="I36" i="14"/>
  <c r="M13" i="6"/>
  <c r="N33" i="14" s="1"/>
  <c r="F33" i="14"/>
  <c r="D36" i="4"/>
  <c r="D39" i="4" s="1"/>
  <c r="D45" i="4" s="1"/>
  <c r="E35" i="4"/>
  <c r="E38" i="4" s="1"/>
  <c r="E44" i="4" s="1"/>
  <c r="K32" i="5"/>
  <c r="L12" i="14"/>
  <c r="H23" i="5"/>
  <c r="I3" i="14"/>
  <c r="F29" i="6"/>
  <c r="J32" i="5"/>
  <c r="K12" i="14"/>
  <c r="G23" i="5"/>
  <c r="H3" i="14"/>
  <c r="G29" i="6"/>
  <c r="D23" i="6"/>
  <c r="E23" i="14"/>
  <c r="J36" i="5"/>
  <c r="K13" i="14"/>
  <c r="D24" i="6"/>
  <c r="E24" i="14"/>
  <c r="D30" i="6"/>
  <c r="L23" i="6"/>
  <c r="M23" i="14"/>
  <c r="E24" i="5"/>
  <c r="M24" i="5" s="1"/>
  <c r="G4" i="9" s="1"/>
  <c r="F4" i="14"/>
  <c r="E30" i="6"/>
  <c r="G29" i="5"/>
  <c r="D35" i="4"/>
  <c r="D38" i="4" s="1"/>
  <c r="D44" i="4" s="1"/>
  <c r="I29" i="5"/>
  <c r="I32" i="5"/>
  <c r="J12" i="14"/>
  <c r="F23" i="5"/>
  <c r="G3" i="14"/>
  <c r="H29" i="6"/>
  <c r="I31" i="6"/>
  <c r="J41" i="14"/>
  <c r="G25" i="6"/>
  <c r="H35" i="14"/>
  <c r="F32" i="6"/>
  <c r="G32" i="14"/>
  <c r="D26" i="6"/>
  <c r="E26" i="14"/>
  <c r="L35" i="4"/>
  <c r="L38" i="4" s="1"/>
  <c r="L44" i="4" s="1"/>
  <c r="C35" i="4"/>
  <c r="C38" i="4" s="1"/>
  <c r="C44" i="4" s="1"/>
  <c r="C28" i="6"/>
  <c r="H32" i="5"/>
  <c r="I12" i="14"/>
  <c r="I29" i="6"/>
  <c r="F36" i="6"/>
  <c r="G35" i="14"/>
  <c r="E32" i="6"/>
  <c r="F32" i="14"/>
  <c r="N9" i="6"/>
  <c r="O29" i="14" s="1"/>
  <c r="E29" i="14"/>
  <c r="L25" i="6"/>
  <c r="M25" i="14"/>
  <c r="M13" i="5"/>
  <c r="D13" i="14"/>
  <c r="L30" i="5"/>
  <c r="M20" i="14"/>
  <c r="I30" i="6"/>
  <c r="J40" i="14"/>
  <c r="F31" i="6"/>
  <c r="G31" i="14"/>
  <c r="C35" i="5"/>
  <c r="C29" i="5"/>
  <c r="D9" i="14"/>
  <c r="D46" i="14" s="1"/>
  <c r="L32" i="5"/>
  <c r="M22" i="14"/>
  <c r="I36" i="5"/>
  <c r="J13" i="14"/>
  <c r="K35" i="4"/>
  <c r="K38" i="4" s="1"/>
  <c r="K44" i="4" s="1"/>
  <c r="K23" i="6"/>
  <c r="L23" i="14"/>
  <c r="L29" i="6"/>
  <c r="L28" i="6"/>
  <c r="M28" i="14"/>
  <c r="J30" i="5"/>
  <c r="K20" i="14"/>
  <c r="F28" i="5"/>
  <c r="G8" i="14"/>
  <c r="M17" i="6"/>
  <c r="N37" i="14" s="1"/>
  <c r="F37" i="14"/>
  <c r="N16" i="6"/>
  <c r="O36" i="14" s="1"/>
  <c r="G36" i="14"/>
  <c r="F35" i="4"/>
  <c r="F38" i="4" s="1"/>
  <c r="F44" i="4" s="1"/>
  <c r="F29" i="5"/>
  <c r="C30" i="5"/>
  <c r="N20" i="6"/>
  <c r="O40" i="14" s="1"/>
  <c r="I24" i="5"/>
  <c r="E27" i="6"/>
  <c r="F27" i="14"/>
  <c r="F36" i="4"/>
  <c r="F39" i="4" s="1"/>
  <c r="F45" i="4" s="1"/>
  <c r="L26" i="6"/>
  <c r="M26" i="14"/>
  <c r="J35" i="5"/>
  <c r="K3" i="14"/>
  <c r="F28" i="6"/>
  <c r="G38" i="14"/>
  <c r="K25" i="6"/>
  <c r="L25" i="14"/>
  <c r="H31" i="5"/>
  <c r="I11" i="14"/>
  <c r="N10" i="5"/>
  <c r="O10" i="14" s="1"/>
  <c r="D32" i="6"/>
  <c r="E32" i="14"/>
  <c r="D26" i="5"/>
  <c r="E6" i="14"/>
  <c r="M16" i="6"/>
  <c r="N36" i="14" s="1"/>
  <c r="D36" i="14"/>
  <c r="E28" i="6"/>
  <c r="F38" i="14"/>
  <c r="N15" i="6"/>
  <c r="O35" i="14" s="1"/>
  <c r="E35" i="14"/>
  <c r="L31" i="6"/>
  <c r="M31" i="14"/>
  <c r="K28" i="6"/>
  <c r="L28" i="14"/>
  <c r="J35" i="6"/>
  <c r="K25" i="14"/>
  <c r="S13" i="14" s="1"/>
  <c r="T13" i="14" s="1"/>
  <c r="M21" i="6"/>
  <c r="N41" i="14" s="1"/>
  <c r="F41" i="14"/>
  <c r="D28" i="6"/>
  <c r="E38" i="14"/>
  <c r="L36" i="6"/>
  <c r="M34" i="14"/>
  <c r="K31" i="6"/>
  <c r="L31" i="14"/>
  <c r="J28" i="6"/>
  <c r="K28" i="14"/>
  <c r="I35" i="6"/>
  <c r="J25" i="14"/>
  <c r="I30" i="5"/>
  <c r="L28" i="5"/>
  <c r="M8" i="14"/>
  <c r="K25" i="5"/>
  <c r="L5" i="14"/>
  <c r="N11" i="6"/>
  <c r="O31" i="14" s="1"/>
  <c r="N21" i="6"/>
  <c r="O41" i="14" s="1"/>
  <c r="E41" i="14"/>
  <c r="L27" i="6"/>
  <c r="M37" i="14"/>
  <c r="K36" i="6"/>
  <c r="L34" i="14"/>
  <c r="J31" i="6"/>
  <c r="K31" i="14"/>
  <c r="I28" i="6"/>
  <c r="J28" i="14"/>
  <c r="H25" i="6"/>
  <c r="I25" i="14"/>
  <c r="C36" i="4"/>
  <c r="C39" i="4" s="1"/>
  <c r="C45" i="4" s="1"/>
  <c r="G32" i="5"/>
  <c r="C36" i="5"/>
  <c r="D16" i="14"/>
  <c r="L31" i="5"/>
  <c r="M11" i="14"/>
  <c r="K28" i="5"/>
  <c r="L8" i="14"/>
  <c r="J25" i="5"/>
  <c r="K5" i="14"/>
  <c r="C32" i="6"/>
  <c r="C36" i="6"/>
  <c r="D33" i="14"/>
  <c r="H28" i="6"/>
  <c r="N28" i="6" s="1"/>
  <c r="F8" i="9" s="1"/>
  <c r="I28" i="14"/>
  <c r="H28" i="5"/>
  <c r="I8" i="14"/>
  <c r="N5" i="6"/>
  <c r="O25" i="14" s="1"/>
  <c r="E25" i="14"/>
  <c r="G28" i="5"/>
  <c r="H8" i="14"/>
  <c r="H36" i="5"/>
  <c r="I14" i="14"/>
  <c r="I47" i="14" s="1"/>
  <c r="I50" i="14" s="1"/>
  <c r="I56" i="14" s="1"/>
  <c r="G31" i="5"/>
  <c r="H11" i="14"/>
  <c r="H27" i="5"/>
  <c r="I7" i="14"/>
  <c r="F24" i="5"/>
  <c r="G4" i="14"/>
  <c r="E36" i="4"/>
  <c r="E39" i="4" s="1"/>
  <c r="E45" i="4" s="1"/>
  <c r="G35" i="4"/>
  <c r="G38" i="4" s="1"/>
  <c r="G44" i="4" s="1"/>
  <c r="L26" i="5"/>
  <c r="D36" i="5"/>
  <c r="E13" i="14"/>
  <c r="F32" i="5"/>
  <c r="G12" i="14"/>
  <c r="I32" i="6"/>
  <c r="J42" i="14"/>
  <c r="J35" i="4"/>
  <c r="J38" i="4" s="1"/>
  <c r="J44" i="4" s="1"/>
  <c r="N22" i="6"/>
  <c r="O42" i="14" s="1"/>
  <c r="E42" i="14"/>
  <c r="G30" i="5"/>
  <c r="G25" i="5"/>
  <c r="H15" i="14"/>
  <c r="H30" i="5"/>
  <c r="N30" i="5" s="1"/>
  <c r="H10" i="9" s="1"/>
  <c r="N15" i="5"/>
  <c r="O15" i="14" s="1"/>
  <c r="G15" i="14"/>
  <c r="E32" i="5"/>
  <c r="F12" i="14"/>
  <c r="D29" i="5"/>
  <c r="E9" i="14"/>
  <c r="L25" i="5"/>
  <c r="M5" i="14"/>
  <c r="M11" i="6"/>
  <c r="N31" i="14" s="1"/>
  <c r="L36" i="5"/>
  <c r="M21" i="5"/>
  <c r="N21" i="14" s="1"/>
  <c r="F21" i="14"/>
  <c r="N18" i="5"/>
  <c r="O18" i="14" s="1"/>
  <c r="E18" i="14"/>
  <c r="K31" i="5"/>
  <c r="L11" i="14"/>
  <c r="J28" i="5"/>
  <c r="K8" i="14"/>
  <c r="I25" i="5"/>
  <c r="J5" i="14"/>
  <c r="D36" i="6"/>
  <c r="K30" i="6"/>
  <c r="L40" i="14"/>
  <c r="M14" i="6"/>
  <c r="N34" i="14" s="1"/>
  <c r="J34" i="14"/>
  <c r="G28" i="6"/>
  <c r="H28" i="14"/>
  <c r="N14" i="5"/>
  <c r="O14" i="14" s="1"/>
  <c r="M14" i="5"/>
  <c r="N14" i="14" s="1"/>
  <c r="D14" i="14"/>
  <c r="N21" i="5"/>
  <c r="O21" i="14" s="1"/>
  <c r="E21" i="14"/>
  <c r="L27" i="5"/>
  <c r="M17" i="14"/>
  <c r="M47" i="14" s="1"/>
  <c r="M50" i="14" s="1"/>
  <c r="M56" i="14" s="1"/>
  <c r="J31" i="5"/>
  <c r="K11" i="14"/>
  <c r="I28" i="5"/>
  <c r="J8" i="14"/>
  <c r="E36" i="6"/>
  <c r="E25" i="4"/>
  <c r="F31" i="4"/>
  <c r="D25" i="4"/>
  <c r="E31" i="4"/>
  <c r="E32" i="4"/>
  <c r="L25" i="4"/>
  <c r="D29" i="4"/>
  <c r="I25" i="4"/>
  <c r="M14" i="4"/>
  <c r="H25" i="4"/>
  <c r="G25" i="4"/>
  <c r="M12" i="4"/>
  <c r="F25" i="4"/>
  <c r="I25" i="6"/>
  <c r="G36" i="6"/>
  <c r="H36" i="6"/>
  <c r="J36" i="6"/>
  <c r="J25" i="6"/>
  <c r="M7" i="6"/>
  <c r="N27" i="14" s="1"/>
  <c r="M9" i="6"/>
  <c r="N29" i="14" s="1"/>
  <c r="M15" i="6"/>
  <c r="N35" i="14" s="1"/>
  <c r="D31" i="6"/>
  <c r="N18" i="6"/>
  <c r="O38" i="14" s="1"/>
  <c r="E31" i="6"/>
  <c r="M32" i="6"/>
  <c r="E12" i="9" s="1"/>
  <c r="C23" i="6"/>
  <c r="C26" i="6"/>
  <c r="M18" i="6"/>
  <c r="N38" i="14" s="1"/>
  <c r="C29" i="6"/>
  <c r="K35" i="6"/>
  <c r="L35" i="6"/>
  <c r="M12" i="6"/>
  <c r="N32" i="14" s="1"/>
  <c r="N12" i="6"/>
  <c r="O32" i="14" s="1"/>
  <c r="C27" i="6"/>
  <c r="D27" i="6"/>
  <c r="M6" i="6"/>
  <c r="N26" i="14" s="1"/>
  <c r="M8" i="6"/>
  <c r="N28" i="14" s="1"/>
  <c r="G31" i="6"/>
  <c r="D29" i="6"/>
  <c r="H31" i="6"/>
  <c r="M10" i="6"/>
  <c r="N30" i="14" s="1"/>
  <c r="N10" i="6"/>
  <c r="M4" i="6"/>
  <c r="N24" i="14" s="1"/>
  <c r="C25" i="6"/>
  <c r="N4" i="6"/>
  <c r="O24" i="14" s="1"/>
  <c r="D25" i="6"/>
  <c r="N6" i="6"/>
  <c r="O26" i="14" s="1"/>
  <c r="N8" i="6"/>
  <c r="O28" i="14" s="1"/>
  <c r="E35" i="6"/>
  <c r="F35" i="6"/>
  <c r="M3" i="6"/>
  <c r="N23" i="14" s="1"/>
  <c r="D35" i="6"/>
  <c r="M5" i="6"/>
  <c r="N25" i="14" s="1"/>
  <c r="G35" i="6"/>
  <c r="H35" i="6"/>
  <c r="N13" i="6"/>
  <c r="F23" i="6"/>
  <c r="I23" i="6"/>
  <c r="J23" i="6"/>
  <c r="F25" i="5"/>
  <c r="M15" i="5"/>
  <c r="N15" i="14" s="1"/>
  <c r="N20" i="5"/>
  <c r="O20" i="14" s="1"/>
  <c r="E35" i="5"/>
  <c r="F35" i="5"/>
  <c r="G35" i="5"/>
  <c r="H35" i="5"/>
  <c r="J23" i="5"/>
  <c r="K23" i="5"/>
  <c r="C26" i="5"/>
  <c r="M18" i="5"/>
  <c r="N18" i="14" s="1"/>
  <c r="M11" i="5"/>
  <c r="N11" i="14" s="1"/>
  <c r="M17" i="5"/>
  <c r="N17" i="14" s="1"/>
  <c r="M9" i="5"/>
  <c r="N9" i="14" s="1"/>
  <c r="M16" i="5"/>
  <c r="N16" i="14" s="1"/>
  <c r="M3" i="5"/>
  <c r="M19" i="5"/>
  <c r="N19" i="14" s="1"/>
  <c r="I31" i="5"/>
  <c r="N19" i="5"/>
  <c r="O19" i="14" s="1"/>
  <c r="E29" i="5"/>
  <c r="M10" i="5"/>
  <c r="N10" i="14" s="1"/>
  <c r="C32" i="5"/>
  <c r="L35" i="5"/>
  <c r="M12" i="5"/>
  <c r="N12" i="14" s="1"/>
  <c r="N12" i="5"/>
  <c r="O12" i="14" s="1"/>
  <c r="C27" i="5"/>
  <c r="D27" i="5"/>
  <c r="C25" i="5"/>
  <c r="D25" i="5"/>
  <c r="D32" i="5"/>
  <c r="M4" i="5"/>
  <c r="N4" i="14" s="1"/>
  <c r="M6" i="5"/>
  <c r="N6" i="14" s="1"/>
  <c r="M8" i="5"/>
  <c r="N8" i="14" s="1"/>
  <c r="N4" i="5"/>
  <c r="O4" i="14" s="1"/>
  <c r="N6" i="5"/>
  <c r="O6" i="14" s="1"/>
  <c r="N8" i="5"/>
  <c r="O8" i="14" s="1"/>
  <c r="C23" i="5"/>
  <c r="N13" i="5"/>
  <c r="D35" i="5"/>
  <c r="L23" i="5"/>
  <c r="D31" i="5"/>
  <c r="N31" i="5" s="1"/>
  <c r="H11" i="9" s="1"/>
  <c r="M11" i="4"/>
  <c r="L24" i="4"/>
  <c r="M21" i="4"/>
  <c r="J28" i="4"/>
  <c r="G28" i="4"/>
  <c r="C30" i="4"/>
  <c r="J31" i="4"/>
  <c r="I31" i="4"/>
  <c r="F28" i="4"/>
  <c r="E28" i="4"/>
  <c r="J25" i="4"/>
  <c r="F29" i="4"/>
  <c r="M9" i="4"/>
  <c r="L28" i="4"/>
  <c r="H28" i="4"/>
  <c r="G31" i="4"/>
  <c r="N11" i="4"/>
  <c r="H32" i="4"/>
  <c r="E23" i="4"/>
  <c r="E26" i="4"/>
  <c r="L31" i="4"/>
  <c r="K31" i="4"/>
  <c r="M8" i="4"/>
  <c r="L30" i="4"/>
  <c r="K30" i="4"/>
  <c r="J27" i="4"/>
  <c r="M5" i="4"/>
  <c r="N20" i="4"/>
  <c r="J30" i="4"/>
  <c r="I27" i="4"/>
  <c r="H24" i="4"/>
  <c r="C24" i="4"/>
  <c r="I30" i="4"/>
  <c r="H27" i="4"/>
  <c r="G24" i="4"/>
  <c r="F32" i="4"/>
  <c r="K28" i="4"/>
  <c r="I28" i="4"/>
  <c r="N8" i="4"/>
  <c r="D28" i="4"/>
  <c r="L27" i="4"/>
  <c r="G27" i="4"/>
  <c r="G29" i="4"/>
  <c r="F26" i="4"/>
  <c r="G32" i="4"/>
  <c r="D23" i="4"/>
  <c r="N6" i="4"/>
  <c r="K25" i="4"/>
  <c r="E29" i="4"/>
  <c r="H31" i="4"/>
  <c r="N5" i="4"/>
  <c r="K24" i="4"/>
  <c r="K27" i="4"/>
  <c r="J24" i="4"/>
  <c r="I24" i="4"/>
  <c r="H30" i="4"/>
  <c r="F24" i="4"/>
  <c r="F27" i="4"/>
  <c r="E24" i="4"/>
  <c r="F30" i="4"/>
  <c r="D24" i="4"/>
  <c r="E30" i="4"/>
  <c r="L23" i="4"/>
  <c r="N10" i="4"/>
  <c r="L26" i="4"/>
  <c r="K23" i="4"/>
  <c r="N13" i="4"/>
  <c r="L29" i="4"/>
  <c r="K26" i="4"/>
  <c r="J23" i="4"/>
  <c r="N16" i="4"/>
  <c r="L32" i="4"/>
  <c r="K29" i="4"/>
  <c r="J26" i="4"/>
  <c r="I23" i="4"/>
  <c r="G30" i="4"/>
  <c r="E27" i="4"/>
  <c r="D27" i="4"/>
  <c r="N19" i="4"/>
  <c r="K32" i="4"/>
  <c r="J29" i="4"/>
  <c r="I26" i="4"/>
  <c r="H23" i="4"/>
  <c r="C23" i="4"/>
  <c r="N22" i="4"/>
  <c r="J32" i="4"/>
  <c r="I29" i="4"/>
  <c r="H26" i="4"/>
  <c r="G23" i="4"/>
  <c r="C32" i="4"/>
  <c r="I32" i="4"/>
  <c r="H29" i="4"/>
  <c r="G26" i="4"/>
  <c r="F23" i="4"/>
  <c r="M3" i="4"/>
  <c r="M19" i="4"/>
  <c r="M18" i="4"/>
  <c r="N9" i="4"/>
  <c r="M17" i="4"/>
  <c r="N12" i="4"/>
  <c r="C26" i="4"/>
  <c r="N21" i="4"/>
  <c r="N15" i="4"/>
  <c r="M16" i="4"/>
  <c r="C25" i="4"/>
  <c r="N18" i="4"/>
  <c r="D32" i="4"/>
  <c r="M15" i="4"/>
  <c r="N17" i="4"/>
  <c r="N14" i="4"/>
  <c r="D26" i="4"/>
  <c r="M13" i="4"/>
  <c r="D31" i="4"/>
  <c r="M7" i="4"/>
  <c r="M22" i="4"/>
  <c r="M20" i="4"/>
  <c r="N7" i="4"/>
  <c r="N3" i="4"/>
  <c r="N4" i="4"/>
  <c r="M10" i="4"/>
  <c r="M6" i="4"/>
  <c r="M4" i="4"/>
  <c r="C31" i="4"/>
  <c r="C29" i="4"/>
  <c r="C28" i="4"/>
  <c r="C27" i="4"/>
  <c r="D30" i="4"/>
  <c r="I46" i="4" l="1"/>
  <c r="I49" i="4" s="1"/>
  <c r="N68" i="4"/>
  <c r="M66" i="4"/>
  <c r="N58" i="4"/>
  <c r="N65" i="4"/>
  <c r="M67" i="4"/>
  <c r="M56" i="4"/>
  <c r="N56" i="4"/>
  <c r="M71" i="4"/>
  <c r="N62" i="4"/>
  <c r="M64" i="4"/>
  <c r="M72" i="4"/>
  <c r="N59" i="4"/>
  <c r="M62" i="4"/>
  <c r="M55" i="4"/>
  <c r="M70" i="4"/>
  <c r="N66" i="4"/>
  <c r="M53" i="4"/>
  <c r="N67" i="4"/>
  <c r="N55" i="4"/>
  <c r="N72" i="4"/>
  <c r="M61" i="4"/>
  <c r="N54" i="4"/>
  <c r="N69" i="4"/>
  <c r="N71" i="4"/>
  <c r="M59" i="4"/>
  <c r="H46" i="4"/>
  <c r="H47" i="4" s="1"/>
  <c r="N73" i="4"/>
  <c r="N70" i="4"/>
  <c r="M68" i="4"/>
  <c r="M57" i="4"/>
  <c r="N64" i="4"/>
  <c r="M65" i="4"/>
  <c r="N53" i="4"/>
  <c r="M54" i="4"/>
  <c r="M60" i="4"/>
  <c r="M73" i="4"/>
  <c r="N61" i="4"/>
  <c r="E46" i="4"/>
  <c r="E47" i="4" s="1"/>
  <c r="L46" i="4"/>
  <c r="L47" i="4" s="1"/>
  <c r="M46" i="14"/>
  <c r="K37" i="6"/>
  <c r="M28" i="6"/>
  <c r="E8" i="9" s="1"/>
  <c r="I8" i="9" s="1"/>
  <c r="F46" i="14"/>
  <c r="N28" i="5"/>
  <c r="H8" i="9" s="1"/>
  <c r="J8" i="9" s="1"/>
  <c r="L47" i="14"/>
  <c r="L50" i="14" s="1"/>
  <c r="L56" i="14" s="1"/>
  <c r="N26" i="5"/>
  <c r="H6" i="9" s="1"/>
  <c r="N32" i="6"/>
  <c r="F12" i="9" s="1"/>
  <c r="K47" i="14"/>
  <c r="K50" i="14" s="1"/>
  <c r="K56" i="14" s="1"/>
  <c r="E47" i="14"/>
  <c r="E50" i="14" s="1"/>
  <c r="E56" i="14" s="1"/>
  <c r="K46" i="4"/>
  <c r="K47" i="4" s="1"/>
  <c r="M30" i="6"/>
  <c r="E10" i="9" s="1"/>
  <c r="J47" i="14"/>
  <c r="J50" i="14" s="1"/>
  <c r="J56" i="14" s="1"/>
  <c r="K46" i="14"/>
  <c r="N24" i="5"/>
  <c r="H4" i="9" s="1"/>
  <c r="M24" i="6"/>
  <c r="E4" i="9" s="1"/>
  <c r="I4" i="9" s="1"/>
  <c r="G37" i="5"/>
  <c r="M29" i="6"/>
  <c r="E9" i="9" s="1"/>
  <c r="M26" i="6"/>
  <c r="E6" i="9" s="1"/>
  <c r="J46" i="14"/>
  <c r="H37" i="5"/>
  <c r="U10" i="5" s="1"/>
  <c r="N30" i="6"/>
  <c r="F10" i="9" s="1"/>
  <c r="J10" i="9" s="1"/>
  <c r="L37" i="6"/>
  <c r="E46" i="14"/>
  <c r="M30" i="5"/>
  <c r="G10" i="9" s="1"/>
  <c r="M28" i="5"/>
  <c r="G8" i="9" s="1"/>
  <c r="K49" i="14"/>
  <c r="K55" i="14" s="1"/>
  <c r="J48" i="14"/>
  <c r="J49" i="14"/>
  <c r="J55" i="14" s="1"/>
  <c r="J57" i="14" s="1"/>
  <c r="E49" i="14"/>
  <c r="E55" i="14" s="1"/>
  <c r="I10" i="9"/>
  <c r="F48" i="14"/>
  <c r="F49" i="14"/>
  <c r="F55" i="14" s="1"/>
  <c r="F57" i="14" s="1"/>
  <c r="D49" i="14"/>
  <c r="D55" i="14" s="1"/>
  <c r="M48" i="14"/>
  <c r="M49" i="14"/>
  <c r="M55" i="14" s="1"/>
  <c r="M57" i="14" s="1"/>
  <c r="O13" i="14"/>
  <c r="N36" i="5"/>
  <c r="D6" i="11" s="1"/>
  <c r="N29" i="5"/>
  <c r="H9" i="9" s="1"/>
  <c r="I37" i="4"/>
  <c r="I40" i="4" s="1"/>
  <c r="E37" i="4"/>
  <c r="E40" i="4" s="1"/>
  <c r="M26" i="5"/>
  <c r="G6" i="9" s="1"/>
  <c r="H47" i="14"/>
  <c r="H50" i="14" s="1"/>
  <c r="H56" i="14" s="1"/>
  <c r="D47" i="14"/>
  <c r="D50" i="14" s="1"/>
  <c r="D56" i="14" s="1"/>
  <c r="M25" i="5"/>
  <c r="G5" i="9" s="1"/>
  <c r="N29" i="6"/>
  <c r="F9" i="9" s="1"/>
  <c r="N13" i="14"/>
  <c r="N47" i="14" s="1"/>
  <c r="M36" i="5"/>
  <c r="N45" i="4"/>
  <c r="H46" i="14"/>
  <c r="N32" i="5"/>
  <c r="H12" i="9" s="1"/>
  <c r="D46" i="4"/>
  <c r="N44" i="4"/>
  <c r="N3" i="14"/>
  <c r="N46" i="14" s="1"/>
  <c r="M35" i="5"/>
  <c r="N27" i="6"/>
  <c r="F7" i="9" s="1"/>
  <c r="J37" i="4"/>
  <c r="J40" i="4" s="1"/>
  <c r="F37" i="4"/>
  <c r="F40" i="4" s="1"/>
  <c r="M27" i="6"/>
  <c r="E7" i="9" s="1"/>
  <c r="I7" i="9" s="1"/>
  <c r="F37" i="5"/>
  <c r="U9" i="5" s="1"/>
  <c r="H37" i="6"/>
  <c r="N27" i="5"/>
  <c r="G37" i="6"/>
  <c r="M32" i="5"/>
  <c r="G12" i="9" s="1"/>
  <c r="I12" i="9" s="1"/>
  <c r="M29" i="5"/>
  <c r="G9" i="9" s="1"/>
  <c r="J37" i="6"/>
  <c r="E37" i="6"/>
  <c r="N35" i="6"/>
  <c r="D12" i="11" s="1"/>
  <c r="O30" i="14"/>
  <c r="O46" i="14" s="1"/>
  <c r="N36" i="4"/>
  <c r="N39" i="4" s="1"/>
  <c r="K37" i="4"/>
  <c r="K40" i="4" s="1"/>
  <c r="N24" i="6"/>
  <c r="F4" i="9" s="1"/>
  <c r="L37" i="4"/>
  <c r="L40" i="4" s="1"/>
  <c r="N35" i="4"/>
  <c r="N38" i="4" s="1"/>
  <c r="I37" i="6"/>
  <c r="G37" i="4"/>
  <c r="G40" i="4" s="1"/>
  <c r="I37" i="5"/>
  <c r="F37" i="6"/>
  <c r="L49" i="14"/>
  <c r="L55" i="14" s="1"/>
  <c r="N36" i="6"/>
  <c r="D5" i="11" s="1"/>
  <c r="O33" i="14"/>
  <c r="G46" i="4"/>
  <c r="F46" i="4"/>
  <c r="D37" i="4"/>
  <c r="D40" i="4" s="1"/>
  <c r="G47" i="14"/>
  <c r="G50" i="14" s="1"/>
  <c r="G56" i="14" s="1"/>
  <c r="O56" i="14" s="1"/>
  <c r="K37" i="5"/>
  <c r="J37" i="5"/>
  <c r="U11" i="5" s="1"/>
  <c r="M35" i="4"/>
  <c r="M38" i="4" s="1"/>
  <c r="G46" i="14"/>
  <c r="I46" i="14"/>
  <c r="N35" i="5"/>
  <c r="M36" i="4"/>
  <c r="M39" i="4" s="1"/>
  <c r="C37" i="4"/>
  <c r="C40" i="4" s="1"/>
  <c r="M45" i="4"/>
  <c r="M25" i="6"/>
  <c r="E5" i="9" s="1"/>
  <c r="M27" i="5"/>
  <c r="G7" i="9" s="1"/>
  <c r="J46" i="4"/>
  <c r="C46" i="4"/>
  <c r="M44" i="4"/>
  <c r="H37" i="4"/>
  <c r="H40" i="4" s="1"/>
  <c r="L37" i="5"/>
  <c r="U12" i="5" s="1"/>
  <c r="N26" i="6"/>
  <c r="F6" i="9" s="1"/>
  <c r="M25" i="4"/>
  <c r="C5" i="9" s="1"/>
  <c r="N28" i="4"/>
  <c r="D8" i="9" s="1"/>
  <c r="N25" i="4"/>
  <c r="D5" i="9" s="1"/>
  <c r="X9" i="4"/>
  <c r="Y9" i="4" s="1"/>
  <c r="X8" i="4"/>
  <c r="M36" i="6"/>
  <c r="C5" i="11" s="1"/>
  <c r="N25" i="6"/>
  <c r="F5" i="9" s="1"/>
  <c r="N31" i="6"/>
  <c r="F11" i="9" s="1"/>
  <c r="J11" i="9" s="1"/>
  <c r="M31" i="6"/>
  <c r="E11" i="9" s="1"/>
  <c r="M35" i="6"/>
  <c r="C12" i="11" s="1"/>
  <c r="N23" i="6"/>
  <c r="M23" i="6"/>
  <c r="E3" i="9" s="1"/>
  <c r="D37" i="6"/>
  <c r="C37" i="6"/>
  <c r="M31" i="5"/>
  <c r="G11" i="9" s="1"/>
  <c r="N25" i="5"/>
  <c r="H5" i="9" s="1"/>
  <c r="N23" i="5"/>
  <c r="M23" i="5"/>
  <c r="C37" i="5"/>
  <c r="E37" i="5"/>
  <c r="D37" i="5"/>
  <c r="U8" i="5" s="1"/>
  <c r="M26" i="4"/>
  <c r="N29" i="4"/>
  <c r="N24" i="4"/>
  <c r="D4" i="9" s="1"/>
  <c r="N31" i="4"/>
  <c r="D11" i="9" s="1"/>
  <c r="M24" i="4"/>
  <c r="C4" i="9" s="1"/>
  <c r="M23" i="4"/>
  <c r="M32" i="4"/>
  <c r="C12" i="9" s="1"/>
  <c r="N32" i="4"/>
  <c r="D12" i="9" s="1"/>
  <c r="N27" i="4"/>
  <c r="D7" i="9" s="1"/>
  <c r="M30" i="4"/>
  <c r="C10" i="9" s="1"/>
  <c r="M28" i="4"/>
  <c r="C8" i="9" s="1"/>
  <c r="N26" i="4"/>
  <c r="D6" i="9" s="1"/>
  <c r="M31" i="4"/>
  <c r="C11" i="9" s="1"/>
  <c r="N23" i="4"/>
  <c r="N30" i="4"/>
  <c r="D10" i="9" s="1"/>
  <c r="M27" i="4"/>
  <c r="C7" i="9" s="1"/>
  <c r="M29" i="4"/>
  <c r="C9" i="9" s="1"/>
  <c r="J12" i="9" l="1"/>
  <c r="I47" i="4"/>
  <c r="H49" i="4"/>
  <c r="L49" i="4"/>
  <c r="E49" i="4"/>
  <c r="L57" i="14"/>
  <c r="K48" i="14"/>
  <c r="K51" i="14" s="1"/>
  <c r="I5" i="9"/>
  <c r="J4" i="9"/>
  <c r="J9" i="9"/>
  <c r="J5" i="9"/>
  <c r="K49" i="4"/>
  <c r="I6" i="9"/>
  <c r="I9" i="9"/>
  <c r="L48" i="14"/>
  <c r="L51" i="14" s="1"/>
  <c r="O47" i="14"/>
  <c r="O48" i="14" s="1"/>
  <c r="W3" i="14" s="1"/>
  <c r="J6" i="9"/>
  <c r="E48" i="14"/>
  <c r="E51" i="14" s="1"/>
  <c r="K57" i="14"/>
  <c r="K58" i="14" s="1"/>
  <c r="S12" i="14"/>
  <c r="O49" i="14"/>
  <c r="C3" i="9"/>
  <c r="M37" i="4"/>
  <c r="M40" i="4" s="1"/>
  <c r="G48" i="14"/>
  <c r="G49" i="14"/>
  <c r="G55" i="14" s="1"/>
  <c r="G57" i="14" s="1"/>
  <c r="N56" i="14"/>
  <c r="F47" i="4"/>
  <c r="F49" i="4"/>
  <c r="G47" i="4"/>
  <c r="G49" i="4"/>
  <c r="N37" i="5"/>
  <c r="V4" i="5" s="1"/>
  <c r="H3" i="9"/>
  <c r="L58" i="14"/>
  <c r="L60" i="14"/>
  <c r="F58" i="14"/>
  <c r="F60" i="14"/>
  <c r="J7" i="9"/>
  <c r="O55" i="14"/>
  <c r="E57" i="14"/>
  <c r="M58" i="14"/>
  <c r="M60" i="14"/>
  <c r="M51" i="14"/>
  <c r="D48" i="14"/>
  <c r="D57" i="14"/>
  <c r="F51" i="14"/>
  <c r="C49" i="4"/>
  <c r="M46" i="4"/>
  <c r="C47" i="4"/>
  <c r="J47" i="4"/>
  <c r="J49" i="4"/>
  <c r="C13" i="11"/>
  <c r="N49" i="14"/>
  <c r="N48" i="14"/>
  <c r="N51" i="14" s="1"/>
  <c r="E17" i="9"/>
  <c r="N37" i="6"/>
  <c r="F3" i="9"/>
  <c r="D49" i="4"/>
  <c r="N46" i="4"/>
  <c r="D47" i="4"/>
  <c r="J58" i="14"/>
  <c r="J60" i="14"/>
  <c r="I11" i="9"/>
  <c r="H48" i="14"/>
  <c r="H49" i="14"/>
  <c r="H55" i="14" s="1"/>
  <c r="H57" i="14" s="1"/>
  <c r="J51" i="14"/>
  <c r="M37" i="5"/>
  <c r="U3" i="5" s="1"/>
  <c r="G3" i="9"/>
  <c r="G15" i="9" s="1"/>
  <c r="D3" i="9"/>
  <c r="N37" i="4"/>
  <c r="N40" i="4" s="1"/>
  <c r="D13" i="11"/>
  <c r="C6" i="11"/>
  <c r="I48" i="14"/>
  <c r="I49" i="14"/>
  <c r="I55" i="14" s="1"/>
  <c r="I57" i="14" s="1"/>
  <c r="N50" i="14"/>
  <c r="V4" i="14"/>
  <c r="X10" i="4"/>
  <c r="Y10" i="4" s="1"/>
  <c r="Y8" i="4"/>
  <c r="C6" i="9"/>
  <c r="C13" i="9" s="1"/>
  <c r="C11" i="11"/>
  <c r="D4" i="11"/>
  <c r="D9" i="9"/>
  <c r="C4" i="11"/>
  <c r="D11" i="11"/>
  <c r="M37" i="6"/>
  <c r="Q10" i="10"/>
  <c r="Q9" i="10"/>
  <c r="Q8" i="10"/>
  <c r="Q7" i="10"/>
  <c r="Q6" i="10"/>
  <c r="Q5" i="10"/>
  <c r="Q4" i="10"/>
  <c r="Q3" i="10"/>
  <c r="Q2" i="10"/>
  <c r="Q11" i="10"/>
  <c r="W3" i="4" l="1"/>
  <c r="M49" i="4"/>
  <c r="Q6" i="5"/>
  <c r="W4" i="14"/>
  <c r="Q3" i="5"/>
  <c r="O50" i="14"/>
  <c r="I3" i="9"/>
  <c r="I16" i="9" s="1"/>
  <c r="K60" i="14"/>
  <c r="S3" i="14"/>
  <c r="U3" i="9" s="1"/>
  <c r="V3" i="5"/>
  <c r="R5" i="6"/>
  <c r="R7" i="6"/>
  <c r="R6" i="5"/>
  <c r="R3" i="5"/>
  <c r="I51" i="14"/>
  <c r="S5" i="14"/>
  <c r="U5" i="9" s="1"/>
  <c r="F17" i="9"/>
  <c r="J3" i="9"/>
  <c r="E60" i="14"/>
  <c r="E58" i="14"/>
  <c r="O57" i="14"/>
  <c r="I58" i="14"/>
  <c r="I60" i="14"/>
  <c r="R4" i="6"/>
  <c r="V3" i="14"/>
  <c r="H17" i="9"/>
  <c r="H15" i="9"/>
  <c r="H13" i="9"/>
  <c r="H16" i="9"/>
  <c r="H14" i="9"/>
  <c r="Q4" i="5"/>
  <c r="U4" i="5"/>
  <c r="R7" i="5"/>
  <c r="N49" i="4"/>
  <c r="Q7" i="5"/>
  <c r="R3" i="6"/>
  <c r="M47" i="4"/>
  <c r="G58" i="14"/>
  <c r="G60" i="14"/>
  <c r="X3" i="4"/>
  <c r="H51" i="14"/>
  <c r="R5" i="14"/>
  <c r="T5" i="9" s="1"/>
  <c r="D60" i="14"/>
  <c r="N60" i="14" s="1"/>
  <c r="D58" i="14"/>
  <c r="N57" i="14"/>
  <c r="D13" i="9"/>
  <c r="N55" i="14"/>
  <c r="S6" i="14"/>
  <c r="U6" i="9" s="1"/>
  <c r="O51" i="14"/>
  <c r="R5" i="5"/>
  <c r="R7" i="14"/>
  <c r="T7" i="9" s="1"/>
  <c r="Q5" i="5"/>
  <c r="R4" i="5"/>
  <c r="G16" i="9"/>
  <c r="G17" i="9"/>
  <c r="G14" i="9"/>
  <c r="G13" i="9"/>
  <c r="V4" i="6"/>
  <c r="R6" i="6"/>
  <c r="R6" i="14"/>
  <c r="T6" i="9" s="1"/>
  <c r="V3" i="6"/>
  <c r="H58" i="14"/>
  <c r="H60" i="14"/>
  <c r="G51" i="14"/>
  <c r="S4" i="14"/>
  <c r="U4" i="9" s="1"/>
  <c r="R4" i="14"/>
  <c r="T4" i="9" s="1"/>
  <c r="N47" i="4"/>
  <c r="R3" i="14"/>
  <c r="T3" i="9" s="1"/>
  <c r="D51" i="14"/>
  <c r="S7" i="14"/>
  <c r="U7" i="9" s="1"/>
  <c r="T12" i="14"/>
  <c r="S14" i="14"/>
  <c r="T14" i="14" s="1"/>
  <c r="S6" i="4"/>
  <c r="W4" i="4"/>
  <c r="S3" i="4"/>
  <c r="T4" i="4"/>
  <c r="S4" i="4"/>
  <c r="D15" i="9"/>
  <c r="C14" i="9"/>
  <c r="D14" i="9"/>
  <c r="T3" i="4"/>
  <c r="S5" i="4"/>
  <c r="X4" i="4"/>
  <c r="T5" i="4"/>
  <c r="T6" i="4"/>
  <c r="T7" i="4"/>
  <c r="S7" i="4"/>
  <c r="C17" i="9"/>
  <c r="C18" i="9" s="1"/>
  <c r="D17" i="9"/>
  <c r="D16" i="9"/>
  <c r="C15" i="9"/>
  <c r="C16" i="9"/>
  <c r="Q4" i="6"/>
  <c r="Q5" i="6"/>
  <c r="Q6" i="6"/>
  <c r="U4" i="6"/>
  <c r="Q7" i="6"/>
  <c r="U3" i="6"/>
  <c r="Q3" i="6"/>
  <c r="I15" i="9" l="1"/>
  <c r="I17" i="9"/>
  <c r="I14" i="9"/>
  <c r="I13" i="9"/>
  <c r="N58" i="14"/>
  <c r="D18" i="9"/>
  <c r="H18" i="9"/>
  <c r="G18" i="9"/>
  <c r="O58" i="14"/>
  <c r="O60" i="14"/>
  <c r="J17" i="9"/>
  <c r="J16" i="9"/>
  <c r="J14" i="9"/>
  <c r="J13" i="9"/>
  <c r="J18" i="9" s="1"/>
  <c r="J15" i="9"/>
  <c r="J2" i="10"/>
  <c r="K2" i="10"/>
  <c r="J3" i="10"/>
  <c r="J4" i="10"/>
  <c r="J5" i="10"/>
  <c r="J6" i="10"/>
  <c r="J7" i="10"/>
  <c r="J8" i="10"/>
  <c r="J9" i="10"/>
  <c r="J10" i="10"/>
  <c r="J11" i="10"/>
  <c r="J52" i="10"/>
  <c r="J53" i="10"/>
  <c r="J54" i="10"/>
  <c r="J55" i="10"/>
  <c r="J56" i="10"/>
  <c r="J57" i="10"/>
  <c r="J58" i="10"/>
  <c r="J59" i="10"/>
  <c r="J60" i="10"/>
  <c r="J61" i="10"/>
  <c r="J12" i="10"/>
  <c r="J13" i="10"/>
  <c r="J14" i="10"/>
  <c r="J15" i="10"/>
  <c r="J16" i="10"/>
  <c r="J17" i="10"/>
  <c r="J18" i="10"/>
  <c r="J19" i="10"/>
  <c r="J20" i="10"/>
  <c r="J21" i="10"/>
  <c r="J62" i="10"/>
  <c r="J63" i="10"/>
  <c r="J64" i="10"/>
  <c r="J65" i="10"/>
  <c r="J66" i="10"/>
  <c r="J67" i="10"/>
  <c r="J68" i="10"/>
  <c r="J69" i="10"/>
  <c r="J70" i="10"/>
  <c r="J71" i="10"/>
  <c r="J22" i="10"/>
  <c r="J23" i="10"/>
  <c r="J24" i="10"/>
  <c r="J25" i="10"/>
  <c r="J26" i="10"/>
  <c r="J27" i="10"/>
  <c r="J28" i="10"/>
  <c r="J29" i="10"/>
  <c r="J30" i="10"/>
  <c r="J31" i="10"/>
  <c r="J72" i="10"/>
  <c r="J73" i="10"/>
  <c r="J74" i="10"/>
  <c r="J75" i="10"/>
  <c r="J76" i="10"/>
  <c r="J77" i="10"/>
  <c r="J78" i="10"/>
  <c r="J79" i="10"/>
  <c r="J80" i="10"/>
  <c r="J81" i="10"/>
  <c r="J32" i="10"/>
  <c r="J33" i="10"/>
  <c r="J34" i="10"/>
  <c r="J35" i="10"/>
  <c r="J36" i="10"/>
  <c r="J37" i="10"/>
  <c r="J38" i="10"/>
  <c r="J39" i="10"/>
  <c r="J40" i="10"/>
  <c r="J41" i="10"/>
  <c r="J82" i="10"/>
  <c r="J83" i="10"/>
  <c r="J84" i="10"/>
  <c r="J85" i="10"/>
  <c r="J86" i="10"/>
  <c r="J87" i="10"/>
  <c r="J88" i="10"/>
  <c r="J89" i="10"/>
  <c r="J90" i="10"/>
  <c r="J91" i="10"/>
  <c r="J42" i="10"/>
  <c r="J43" i="10"/>
  <c r="J44" i="10"/>
  <c r="J45" i="10"/>
  <c r="J46" i="10"/>
  <c r="J47" i="10"/>
  <c r="J48" i="10"/>
  <c r="J49" i="10"/>
  <c r="J50" i="10"/>
  <c r="J5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K3" i="10"/>
  <c r="L3" i="10" s="1"/>
  <c r="K4" i="10"/>
  <c r="L4" i="10" s="1"/>
  <c r="K5" i="10"/>
  <c r="L5" i="10" s="1"/>
  <c r="K6" i="10"/>
  <c r="L6" i="10" s="1"/>
  <c r="K7" i="10"/>
  <c r="L7" i="10" s="1"/>
  <c r="K8" i="10"/>
  <c r="L8" i="10" s="1"/>
  <c r="K9" i="10"/>
  <c r="L9" i="10" s="1"/>
  <c r="K10" i="10"/>
  <c r="L10" i="10" s="1"/>
  <c r="K11" i="10"/>
  <c r="L11" i="10" s="1"/>
  <c r="K52" i="10"/>
  <c r="L52" i="10" s="1"/>
  <c r="K53" i="10"/>
  <c r="L53" i="10" s="1"/>
  <c r="K54" i="10"/>
  <c r="L54" i="10" s="1"/>
  <c r="K55" i="10"/>
  <c r="L55" i="10" s="1"/>
  <c r="K56" i="10"/>
  <c r="L56" i="10" s="1"/>
  <c r="K57" i="10"/>
  <c r="L57" i="10" s="1"/>
  <c r="K58" i="10"/>
  <c r="L58" i="10" s="1"/>
  <c r="K59" i="10"/>
  <c r="L59" i="10" s="1"/>
  <c r="K60" i="10"/>
  <c r="L60" i="10" s="1"/>
  <c r="K61" i="10"/>
  <c r="L61" i="10" s="1"/>
  <c r="K12" i="10"/>
  <c r="L12" i="10" s="1"/>
  <c r="K13" i="10"/>
  <c r="L13" i="10" s="1"/>
  <c r="K14" i="10"/>
  <c r="L14" i="10" s="1"/>
  <c r="K15" i="10"/>
  <c r="L15" i="10" s="1"/>
  <c r="K16" i="10"/>
  <c r="L16" i="10" s="1"/>
  <c r="K17" i="10"/>
  <c r="L17" i="10" s="1"/>
  <c r="K18" i="10"/>
  <c r="L18" i="10" s="1"/>
  <c r="K19" i="10"/>
  <c r="L19" i="10" s="1"/>
  <c r="K20" i="10"/>
  <c r="L20" i="10" s="1"/>
  <c r="K21" i="10"/>
  <c r="L21" i="10" s="1"/>
  <c r="K62" i="10"/>
  <c r="L62" i="10" s="1"/>
  <c r="K63" i="10"/>
  <c r="L63" i="10" s="1"/>
  <c r="K64" i="10"/>
  <c r="L64" i="10" s="1"/>
  <c r="K65" i="10"/>
  <c r="L65" i="10" s="1"/>
  <c r="K66" i="10"/>
  <c r="L66" i="10" s="1"/>
  <c r="K67" i="10"/>
  <c r="L67" i="10" s="1"/>
  <c r="K68" i="10"/>
  <c r="L68" i="10" s="1"/>
  <c r="K69" i="10"/>
  <c r="L69" i="10" s="1"/>
  <c r="K70" i="10"/>
  <c r="L70" i="10" s="1"/>
  <c r="K71" i="10"/>
  <c r="L71" i="10" s="1"/>
  <c r="K22" i="10"/>
  <c r="L22" i="10" s="1"/>
  <c r="K23" i="10"/>
  <c r="L23" i="10" s="1"/>
  <c r="K24" i="10"/>
  <c r="L24" i="10" s="1"/>
  <c r="K25" i="10"/>
  <c r="L25" i="10" s="1"/>
  <c r="K26" i="10"/>
  <c r="L26" i="10" s="1"/>
  <c r="K27" i="10"/>
  <c r="L27" i="10" s="1"/>
  <c r="K28" i="10"/>
  <c r="L28" i="10" s="1"/>
  <c r="K29" i="10"/>
  <c r="L29" i="10" s="1"/>
  <c r="K30" i="10"/>
  <c r="L30" i="10" s="1"/>
  <c r="K31" i="10"/>
  <c r="L31" i="10" s="1"/>
  <c r="K72" i="10"/>
  <c r="L72" i="10" s="1"/>
  <c r="K73" i="10"/>
  <c r="L73" i="10" s="1"/>
  <c r="K74" i="10"/>
  <c r="L74" i="10" s="1"/>
  <c r="K75" i="10"/>
  <c r="L75" i="10" s="1"/>
  <c r="K76" i="10"/>
  <c r="L76" i="10" s="1"/>
  <c r="K77" i="10"/>
  <c r="L77" i="10" s="1"/>
  <c r="K78" i="10"/>
  <c r="L78" i="10" s="1"/>
  <c r="K79" i="10"/>
  <c r="L79" i="10" s="1"/>
  <c r="K80" i="10"/>
  <c r="L80" i="10" s="1"/>
  <c r="K81" i="10"/>
  <c r="L81" i="10" s="1"/>
  <c r="K32" i="10"/>
  <c r="L32" i="10" s="1"/>
  <c r="K33" i="10"/>
  <c r="L33" i="10" s="1"/>
  <c r="K34" i="10"/>
  <c r="L34" i="10" s="1"/>
  <c r="K35" i="10"/>
  <c r="L35" i="10" s="1"/>
  <c r="K36" i="10"/>
  <c r="L36" i="10" s="1"/>
  <c r="K37" i="10"/>
  <c r="L37" i="10" s="1"/>
  <c r="K38" i="10"/>
  <c r="L38" i="10" s="1"/>
  <c r="K39" i="10"/>
  <c r="L39" i="10" s="1"/>
  <c r="K40" i="10"/>
  <c r="L40" i="10" s="1"/>
  <c r="K41" i="10"/>
  <c r="L41" i="10" s="1"/>
  <c r="K82" i="10"/>
  <c r="L82" i="10" s="1"/>
  <c r="K83" i="10"/>
  <c r="L83" i="10" s="1"/>
  <c r="K84" i="10"/>
  <c r="L84" i="10" s="1"/>
  <c r="K85" i="10"/>
  <c r="L85" i="10" s="1"/>
  <c r="K86" i="10"/>
  <c r="L86" i="10" s="1"/>
  <c r="K87" i="10"/>
  <c r="L87" i="10" s="1"/>
  <c r="K88" i="10"/>
  <c r="L88" i="10" s="1"/>
  <c r="K89" i="10"/>
  <c r="L89" i="10" s="1"/>
  <c r="K90" i="10"/>
  <c r="L90" i="10" s="1"/>
  <c r="K91" i="10"/>
  <c r="L91" i="10" s="1"/>
  <c r="K42" i="10"/>
  <c r="L42" i="10" s="1"/>
  <c r="K43" i="10"/>
  <c r="L43" i="10" s="1"/>
  <c r="K44" i="10"/>
  <c r="L44" i="10" s="1"/>
  <c r="K45" i="10"/>
  <c r="L45" i="10" s="1"/>
  <c r="K46" i="10"/>
  <c r="L46" i="10" s="1"/>
  <c r="K47" i="10"/>
  <c r="L47" i="10" s="1"/>
  <c r="K48" i="10"/>
  <c r="L48" i="10" s="1"/>
  <c r="K49" i="10"/>
  <c r="L49" i="10" s="1"/>
  <c r="K50" i="10"/>
  <c r="L50" i="10" s="1"/>
  <c r="K51" i="10"/>
  <c r="L51" i="10" s="1"/>
  <c r="K92" i="10"/>
  <c r="L92" i="10" s="1"/>
  <c r="K93" i="10"/>
  <c r="L93" i="10" s="1"/>
  <c r="K94" i="10"/>
  <c r="L94" i="10" s="1"/>
  <c r="K95" i="10"/>
  <c r="L95" i="10" s="1"/>
  <c r="K96" i="10"/>
  <c r="L96" i="10" s="1"/>
  <c r="K97" i="10"/>
  <c r="L97" i="10" s="1"/>
  <c r="K98" i="10"/>
  <c r="L98" i="10" s="1"/>
  <c r="K99" i="10"/>
  <c r="L99" i="10" s="1"/>
  <c r="K100" i="10"/>
  <c r="L100" i="10" s="1"/>
  <c r="K101" i="10"/>
  <c r="L101" i="10" s="1"/>
  <c r="K102" i="10"/>
  <c r="L102" i="10" s="1"/>
  <c r="K103" i="10"/>
  <c r="L103" i="10" s="1"/>
  <c r="K104" i="10"/>
  <c r="L104" i="10" s="1"/>
  <c r="K105" i="10"/>
  <c r="L105" i="10" s="1"/>
  <c r="K106" i="10"/>
  <c r="L106" i="10" s="1"/>
  <c r="K107" i="10"/>
  <c r="L107" i="10" s="1"/>
  <c r="K108" i="10"/>
  <c r="L108" i="10" s="1"/>
  <c r="K109" i="10"/>
  <c r="L109" i="10" s="1"/>
  <c r="K110" i="10"/>
  <c r="L110" i="10" s="1"/>
  <c r="K111" i="10"/>
  <c r="L111" i="10" s="1"/>
  <c r="K112" i="10"/>
  <c r="L112" i="10" s="1"/>
  <c r="K113" i="10"/>
  <c r="L113" i="10" s="1"/>
  <c r="K114" i="10"/>
  <c r="L114" i="10" s="1"/>
  <c r="K115" i="10"/>
  <c r="L115" i="10" s="1"/>
  <c r="K116" i="10"/>
  <c r="L116" i="10" s="1"/>
  <c r="K117" i="10"/>
  <c r="L117" i="10" s="1"/>
  <c r="K118" i="10"/>
  <c r="L118" i="10" s="1"/>
  <c r="K119" i="10"/>
  <c r="L119" i="10" s="1"/>
  <c r="K120" i="10"/>
  <c r="L120" i="10" s="1"/>
  <c r="K121" i="10"/>
  <c r="L121" i="10" s="1"/>
  <c r="K122" i="10"/>
  <c r="L122" i="10" s="1"/>
  <c r="K123" i="10"/>
  <c r="L123" i="10" s="1"/>
  <c r="K124" i="10"/>
  <c r="L124" i="10" s="1"/>
  <c r="K125" i="10"/>
  <c r="L125" i="10" s="1"/>
  <c r="K126" i="10"/>
  <c r="L126" i="10" s="1"/>
  <c r="K127" i="10"/>
  <c r="L127" i="10" s="1"/>
  <c r="K128" i="10"/>
  <c r="L128" i="10" s="1"/>
  <c r="K129" i="10"/>
  <c r="L129" i="10" s="1"/>
  <c r="K130" i="10"/>
  <c r="L130" i="10" s="1"/>
  <c r="K131" i="10"/>
  <c r="L131" i="10" s="1"/>
  <c r="K132" i="10"/>
  <c r="L132" i="10" s="1"/>
  <c r="K133" i="10"/>
  <c r="L133" i="10" s="1"/>
  <c r="K134" i="10"/>
  <c r="L134" i="10" s="1"/>
  <c r="K135" i="10"/>
  <c r="L135" i="10" s="1"/>
  <c r="K136" i="10"/>
  <c r="L136" i="10" s="1"/>
  <c r="K137" i="10"/>
  <c r="L137" i="10" s="1"/>
  <c r="K138" i="10"/>
  <c r="L138" i="10" s="1"/>
  <c r="K139" i="10"/>
  <c r="L139" i="10" s="1"/>
  <c r="K140" i="10"/>
  <c r="L140" i="10" s="1"/>
  <c r="K141" i="10"/>
  <c r="L141" i="10" s="1"/>
  <c r="K142" i="10"/>
  <c r="L142" i="10" s="1"/>
  <c r="K143" i="10"/>
  <c r="L143" i="10" s="1"/>
  <c r="K144" i="10"/>
  <c r="L144" i="10" s="1"/>
  <c r="K145" i="10"/>
  <c r="L145" i="10" s="1"/>
  <c r="K146" i="10"/>
  <c r="L146" i="10" s="1"/>
  <c r="K147" i="10"/>
  <c r="L147" i="10" s="1"/>
  <c r="K148" i="10"/>
  <c r="L148" i="10" s="1"/>
  <c r="K149" i="10"/>
  <c r="L149" i="10" s="1"/>
  <c r="K150" i="10"/>
  <c r="L150" i="10" s="1"/>
  <c r="K151" i="10"/>
  <c r="L151" i="10" s="1"/>
  <c r="I18" i="9" l="1"/>
  <c r="N18" i="8"/>
  <c r="N2" i="8"/>
  <c r="R6" i="8"/>
  <c r="R15" i="8"/>
  <c r="R7" i="8"/>
  <c r="R5" i="8"/>
  <c r="R4" i="8"/>
  <c r="R16" i="8"/>
  <c r="R3" i="8"/>
  <c r="B4" i="9" l="1"/>
  <c r="B5" i="9"/>
  <c r="B6" i="9"/>
  <c r="B7" i="9"/>
  <c r="B8" i="9"/>
  <c r="B9" i="9"/>
  <c r="B10" i="9"/>
  <c r="B11" i="9"/>
  <c r="B12" i="9"/>
  <c r="B3" i="9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G3" i="8" a="1"/>
  <c r="G3" i="8" s="1"/>
  <c r="H3" i="8" l="1"/>
  <c r="I3" i="8"/>
  <c r="K3" i="8" s="1"/>
  <c r="B17" i="9"/>
  <c r="B13" i="9"/>
  <c r="B15" i="9"/>
  <c r="G11" i="8"/>
  <c r="B14" i="9"/>
  <c r="B16" i="9"/>
  <c r="R8" i="8"/>
  <c r="Q3" i="9"/>
  <c r="Q4" i="9"/>
  <c r="Q5" i="9"/>
  <c r="Q6" i="9"/>
  <c r="Q7" i="9"/>
  <c r="G10" i="8"/>
  <c r="G9" i="8"/>
  <c r="G7" i="8"/>
  <c r="G6" i="8"/>
  <c r="G5" i="8"/>
  <c r="G4" i="8"/>
  <c r="G8" i="8"/>
  <c r="B18" i="9" l="1"/>
  <c r="H8" i="8"/>
  <c r="I8" i="8"/>
  <c r="K8" i="8" s="1"/>
  <c r="H10" i="8"/>
  <c r="I10" i="8"/>
  <c r="K10" i="8" s="1"/>
  <c r="H4" i="8"/>
  <c r="I4" i="8"/>
  <c r="K4" i="8" s="1"/>
  <c r="H5" i="8"/>
  <c r="I5" i="8"/>
  <c r="K5" i="8" s="1"/>
  <c r="H6" i="8"/>
  <c r="I6" i="8"/>
  <c r="K6" i="8" s="1"/>
  <c r="H7" i="8"/>
  <c r="I7" i="8"/>
  <c r="K7" i="8" s="1"/>
  <c r="H9" i="8"/>
  <c r="I9" i="8"/>
  <c r="K9" i="8" s="1"/>
  <c r="H11" i="8"/>
  <c r="I11" i="8"/>
  <c r="K11" i="8" s="1"/>
  <c r="C1" i="4"/>
  <c r="D1" i="4"/>
  <c r="E1" i="4"/>
  <c r="F1" i="4"/>
  <c r="G1" i="4"/>
  <c r="H1" i="4"/>
  <c r="I1" i="4"/>
  <c r="J1" i="4"/>
  <c r="K1" i="4"/>
  <c r="A2" i="4"/>
  <c r="B2" i="4"/>
  <c r="B402" i="3"/>
  <c r="C402" i="3"/>
  <c r="D402" i="3"/>
  <c r="E402" i="3"/>
  <c r="F402" i="3"/>
  <c r="B403" i="3"/>
  <c r="C403" i="3"/>
  <c r="D403" i="3"/>
  <c r="E403" i="3"/>
  <c r="F403" i="3"/>
  <c r="B404" i="3"/>
  <c r="C404" i="3"/>
  <c r="D404" i="3"/>
  <c r="E404" i="3"/>
  <c r="F404" i="3"/>
  <c r="B405" i="3"/>
  <c r="C405" i="3"/>
  <c r="D405" i="3"/>
  <c r="E405" i="3"/>
  <c r="F405" i="3"/>
  <c r="B406" i="3"/>
  <c r="C406" i="3"/>
  <c r="D406" i="3"/>
  <c r="E406" i="3"/>
  <c r="F406" i="3"/>
  <c r="B407" i="3"/>
  <c r="C407" i="3"/>
  <c r="D407" i="3"/>
  <c r="E407" i="3"/>
  <c r="F407" i="3"/>
  <c r="B408" i="3"/>
  <c r="C408" i="3"/>
  <c r="D408" i="3"/>
  <c r="E408" i="3"/>
  <c r="F408" i="3"/>
  <c r="B409" i="3"/>
  <c r="C409" i="3"/>
  <c r="D409" i="3"/>
  <c r="E409" i="3"/>
  <c r="F409" i="3"/>
  <c r="B410" i="3"/>
  <c r="C410" i="3"/>
  <c r="D410" i="3"/>
  <c r="E410" i="3"/>
  <c r="F410" i="3"/>
  <c r="B411" i="3"/>
  <c r="C411" i="3"/>
  <c r="D411" i="3"/>
  <c r="E411" i="3"/>
  <c r="F411" i="3"/>
  <c r="B412" i="3"/>
  <c r="C412" i="3"/>
  <c r="D412" i="3"/>
  <c r="E412" i="3"/>
  <c r="F412" i="3"/>
  <c r="B413" i="3"/>
  <c r="C413" i="3"/>
  <c r="D413" i="3"/>
  <c r="E413" i="3"/>
  <c r="F413" i="3"/>
  <c r="B414" i="3"/>
  <c r="C414" i="3"/>
  <c r="D414" i="3"/>
  <c r="E414" i="3"/>
  <c r="F414" i="3"/>
  <c r="B415" i="3"/>
  <c r="C415" i="3"/>
  <c r="D415" i="3"/>
  <c r="E415" i="3"/>
  <c r="F415" i="3"/>
  <c r="B416" i="3"/>
  <c r="C416" i="3"/>
  <c r="D416" i="3"/>
  <c r="E416" i="3"/>
  <c r="F416" i="3"/>
  <c r="B417" i="3"/>
  <c r="C417" i="3"/>
  <c r="D417" i="3"/>
  <c r="E417" i="3"/>
  <c r="F417" i="3"/>
  <c r="B418" i="3"/>
  <c r="C418" i="3"/>
  <c r="D418" i="3"/>
  <c r="E418" i="3"/>
  <c r="F418" i="3"/>
  <c r="B419" i="3"/>
  <c r="C419" i="3"/>
  <c r="D419" i="3"/>
  <c r="E419" i="3"/>
  <c r="F419" i="3"/>
  <c r="B420" i="3"/>
  <c r="C420" i="3"/>
  <c r="D420" i="3"/>
  <c r="E420" i="3"/>
  <c r="F420" i="3"/>
  <c r="B421" i="3"/>
  <c r="C421" i="3"/>
  <c r="D421" i="3"/>
  <c r="E421" i="3"/>
  <c r="F421" i="3"/>
  <c r="B422" i="3"/>
  <c r="C422" i="3"/>
  <c r="D422" i="3"/>
  <c r="E422" i="3"/>
  <c r="F422" i="3"/>
  <c r="B423" i="3"/>
  <c r="C423" i="3"/>
  <c r="D423" i="3"/>
  <c r="E423" i="3"/>
  <c r="F423" i="3"/>
  <c r="B424" i="3"/>
  <c r="C424" i="3"/>
  <c r="D424" i="3"/>
  <c r="E424" i="3"/>
  <c r="F424" i="3"/>
  <c r="B425" i="3"/>
  <c r="C425" i="3"/>
  <c r="D425" i="3"/>
  <c r="E425" i="3"/>
  <c r="F425" i="3"/>
  <c r="B426" i="3"/>
  <c r="C426" i="3"/>
  <c r="D426" i="3"/>
  <c r="E426" i="3"/>
  <c r="F426" i="3"/>
  <c r="B427" i="3"/>
  <c r="C427" i="3"/>
  <c r="D427" i="3"/>
  <c r="E427" i="3"/>
  <c r="F427" i="3"/>
  <c r="B428" i="3"/>
  <c r="C428" i="3"/>
  <c r="D428" i="3"/>
  <c r="E428" i="3"/>
  <c r="F428" i="3"/>
  <c r="B429" i="3"/>
  <c r="C429" i="3"/>
  <c r="D429" i="3"/>
  <c r="E429" i="3"/>
  <c r="F429" i="3"/>
  <c r="B430" i="3"/>
  <c r="C430" i="3"/>
  <c r="D430" i="3"/>
  <c r="E430" i="3"/>
  <c r="F430" i="3"/>
  <c r="B431" i="3"/>
  <c r="C431" i="3"/>
  <c r="D431" i="3"/>
  <c r="E431" i="3"/>
  <c r="F431" i="3"/>
  <c r="B432" i="3"/>
  <c r="C432" i="3"/>
  <c r="D432" i="3"/>
  <c r="E432" i="3"/>
  <c r="F432" i="3"/>
  <c r="B433" i="3"/>
  <c r="C433" i="3"/>
  <c r="D433" i="3"/>
  <c r="E433" i="3"/>
  <c r="F433" i="3"/>
  <c r="B434" i="3"/>
  <c r="C434" i="3"/>
  <c r="D434" i="3"/>
  <c r="E434" i="3"/>
  <c r="F434" i="3"/>
  <c r="B435" i="3"/>
  <c r="C435" i="3"/>
  <c r="D435" i="3"/>
  <c r="E435" i="3"/>
  <c r="F435" i="3"/>
  <c r="B436" i="3"/>
  <c r="C436" i="3"/>
  <c r="D436" i="3"/>
  <c r="E436" i="3"/>
  <c r="F436" i="3"/>
  <c r="B437" i="3"/>
  <c r="C437" i="3"/>
  <c r="D437" i="3"/>
  <c r="E437" i="3"/>
  <c r="F437" i="3"/>
  <c r="B438" i="3"/>
  <c r="C438" i="3"/>
  <c r="D438" i="3"/>
  <c r="E438" i="3"/>
  <c r="F438" i="3"/>
  <c r="B439" i="3"/>
  <c r="C439" i="3"/>
  <c r="D439" i="3"/>
  <c r="E439" i="3"/>
  <c r="F439" i="3"/>
  <c r="B440" i="3"/>
  <c r="C440" i="3"/>
  <c r="D440" i="3"/>
  <c r="E440" i="3"/>
  <c r="F440" i="3"/>
  <c r="B441" i="3"/>
  <c r="C441" i="3"/>
  <c r="D441" i="3"/>
  <c r="E441" i="3"/>
  <c r="F441" i="3"/>
  <c r="B442" i="3"/>
  <c r="C442" i="3"/>
  <c r="D442" i="3"/>
  <c r="E442" i="3"/>
  <c r="F442" i="3"/>
  <c r="B443" i="3"/>
  <c r="C443" i="3"/>
  <c r="D443" i="3"/>
  <c r="E443" i="3"/>
  <c r="F443" i="3"/>
  <c r="B444" i="3"/>
  <c r="C444" i="3"/>
  <c r="D444" i="3"/>
  <c r="E444" i="3"/>
  <c r="F444" i="3"/>
  <c r="B445" i="3"/>
  <c r="C445" i="3"/>
  <c r="D445" i="3"/>
  <c r="E445" i="3"/>
  <c r="F445" i="3"/>
  <c r="B446" i="3"/>
  <c r="C446" i="3"/>
  <c r="D446" i="3"/>
  <c r="E446" i="3"/>
  <c r="F446" i="3"/>
  <c r="B447" i="3"/>
  <c r="C447" i="3"/>
  <c r="D447" i="3"/>
  <c r="E447" i="3"/>
  <c r="F447" i="3"/>
  <c r="B448" i="3"/>
  <c r="C448" i="3"/>
  <c r="D448" i="3"/>
  <c r="E448" i="3"/>
  <c r="F448" i="3"/>
  <c r="B449" i="3"/>
  <c r="C449" i="3"/>
  <c r="D449" i="3"/>
  <c r="E449" i="3"/>
  <c r="F449" i="3"/>
  <c r="B450" i="3"/>
  <c r="C450" i="3"/>
  <c r="D450" i="3"/>
  <c r="E450" i="3"/>
  <c r="F450" i="3"/>
  <c r="B451" i="3"/>
  <c r="C451" i="3"/>
  <c r="D451" i="3"/>
  <c r="E451" i="3"/>
  <c r="F451" i="3"/>
  <c r="B452" i="3"/>
  <c r="C452" i="3"/>
  <c r="D452" i="3"/>
  <c r="E452" i="3"/>
  <c r="F452" i="3"/>
  <c r="B453" i="3"/>
  <c r="C453" i="3"/>
  <c r="D453" i="3"/>
  <c r="E453" i="3"/>
  <c r="F453" i="3"/>
  <c r="B454" i="3"/>
  <c r="C454" i="3"/>
  <c r="D454" i="3"/>
  <c r="E454" i="3"/>
  <c r="F454" i="3"/>
  <c r="B455" i="3"/>
  <c r="C455" i="3"/>
  <c r="D455" i="3"/>
  <c r="E455" i="3"/>
  <c r="F455" i="3"/>
  <c r="B456" i="3"/>
  <c r="C456" i="3"/>
  <c r="D456" i="3"/>
  <c r="E456" i="3"/>
  <c r="F456" i="3"/>
  <c r="B457" i="3"/>
  <c r="C457" i="3"/>
  <c r="D457" i="3"/>
  <c r="E457" i="3"/>
  <c r="F457" i="3"/>
  <c r="B458" i="3"/>
  <c r="C458" i="3"/>
  <c r="D458" i="3"/>
  <c r="E458" i="3"/>
  <c r="F458" i="3"/>
  <c r="B459" i="3"/>
  <c r="C459" i="3"/>
  <c r="D459" i="3"/>
  <c r="E459" i="3"/>
  <c r="F459" i="3"/>
  <c r="B460" i="3"/>
  <c r="C460" i="3"/>
  <c r="D460" i="3"/>
  <c r="E460" i="3"/>
  <c r="F460" i="3"/>
  <c r="B461" i="3"/>
  <c r="C461" i="3"/>
  <c r="D461" i="3"/>
  <c r="E461" i="3"/>
  <c r="F461" i="3"/>
  <c r="B462" i="3"/>
  <c r="C462" i="3"/>
  <c r="D462" i="3"/>
  <c r="E462" i="3"/>
  <c r="F462" i="3"/>
  <c r="B463" i="3"/>
  <c r="C463" i="3"/>
  <c r="D463" i="3"/>
  <c r="E463" i="3"/>
  <c r="F463" i="3"/>
  <c r="B464" i="3"/>
  <c r="C464" i="3"/>
  <c r="D464" i="3"/>
  <c r="E464" i="3"/>
  <c r="F464" i="3"/>
  <c r="B465" i="3"/>
  <c r="C465" i="3"/>
  <c r="D465" i="3"/>
  <c r="E465" i="3"/>
  <c r="F465" i="3"/>
  <c r="B466" i="3"/>
  <c r="C466" i="3"/>
  <c r="D466" i="3"/>
  <c r="E466" i="3"/>
  <c r="F466" i="3"/>
  <c r="B467" i="3"/>
  <c r="C467" i="3"/>
  <c r="D467" i="3"/>
  <c r="E467" i="3"/>
  <c r="F467" i="3"/>
  <c r="B468" i="3"/>
  <c r="C468" i="3"/>
  <c r="D468" i="3"/>
  <c r="E468" i="3"/>
  <c r="F468" i="3"/>
  <c r="B469" i="3"/>
  <c r="C469" i="3"/>
  <c r="D469" i="3"/>
  <c r="E469" i="3"/>
  <c r="F469" i="3"/>
  <c r="B470" i="3"/>
  <c r="C470" i="3"/>
  <c r="D470" i="3"/>
  <c r="E470" i="3"/>
  <c r="F470" i="3"/>
  <c r="B471" i="3"/>
  <c r="C471" i="3"/>
  <c r="D471" i="3"/>
  <c r="E471" i="3"/>
  <c r="F471" i="3"/>
  <c r="B472" i="3"/>
  <c r="C472" i="3"/>
  <c r="D472" i="3"/>
  <c r="E472" i="3"/>
  <c r="F472" i="3"/>
  <c r="B473" i="3"/>
  <c r="C473" i="3"/>
  <c r="D473" i="3"/>
  <c r="E473" i="3"/>
  <c r="F473" i="3"/>
  <c r="B474" i="3"/>
  <c r="C474" i="3"/>
  <c r="D474" i="3"/>
  <c r="E474" i="3"/>
  <c r="F474" i="3"/>
  <c r="B475" i="3"/>
  <c r="C475" i="3"/>
  <c r="D475" i="3"/>
  <c r="E475" i="3"/>
  <c r="F475" i="3"/>
  <c r="B476" i="3"/>
  <c r="C476" i="3"/>
  <c r="D476" i="3"/>
  <c r="E476" i="3"/>
  <c r="F476" i="3"/>
  <c r="B477" i="3"/>
  <c r="C477" i="3"/>
  <c r="D477" i="3"/>
  <c r="E477" i="3"/>
  <c r="F477" i="3"/>
  <c r="B478" i="3"/>
  <c r="C478" i="3"/>
  <c r="D478" i="3"/>
  <c r="E478" i="3"/>
  <c r="F478" i="3"/>
  <c r="B479" i="3"/>
  <c r="C479" i="3"/>
  <c r="D479" i="3"/>
  <c r="E479" i="3"/>
  <c r="F479" i="3"/>
  <c r="B480" i="3"/>
  <c r="C480" i="3"/>
  <c r="D480" i="3"/>
  <c r="E480" i="3"/>
  <c r="F480" i="3"/>
  <c r="B481" i="3"/>
  <c r="C481" i="3"/>
  <c r="D481" i="3"/>
  <c r="E481" i="3"/>
  <c r="F481" i="3"/>
  <c r="B482" i="3"/>
  <c r="C482" i="3"/>
  <c r="D482" i="3"/>
  <c r="E482" i="3"/>
  <c r="F482" i="3"/>
  <c r="B483" i="3"/>
  <c r="C483" i="3"/>
  <c r="D483" i="3"/>
  <c r="E483" i="3"/>
  <c r="F483" i="3"/>
  <c r="B484" i="3"/>
  <c r="C484" i="3"/>
  <c r="D484" i="3"/>
  <c r="E484" i="3"/>
  <c r="F484" i="3"/>
  <c r="B485" i="3"/>
  <c r="C485" i="3"/>
  <c r="D485" i="3"/>
  <c r="E485" i="3"/>
  <c r="F485" i="3"/>
  <c r="B486" i="3"/>
  <c r="C486" i="3"/>
  <c r="D486" i="3"/>
  <c r="E486" i="3"/>
  <c r="F486" i="3"/>
  <c r="B487" i="3"/>
  <c r="C487" i="3"/>
  <c r="D487" i="3"/>
  <c r="E487" i="3"/>
  <c r="F487" i="3"/>
  <c r="B488" i="3"/>
  <c r="C488" i="3"/>
  <c r="D488" i="3"/>
  <c r="E488" i="3"/>
  <c r="F488" i="3"/>
  <c r="B489" i="3"/>
  <c r="C489" i="3"/>
  <c r="D489" i="3"/>
  <c r="E489" i="3"/>
  <c r="F489" i="3"/>
  <c r="B490" i="3"/>
  <c r="C490" i="3"/>
  <c r="D490" i="3"/>
  <c r="E490" i="3"/>
  <c r="F490" i="3"/>
  <c r="B491" i="3"/>
  <c r="C491" i="3"/>
  <c r="D491" i="3"/>
  <c r="E491" i="3"/>
  <c r="F491" i="3"/>
  <c r="B492" i="3"/>
  <c r="C492" i="3"/>
  <c r="D492" i="3"/>
  <c r="E492" i="3"/>
  <c r="F492" i="3"/>
  <c r="B493" i="3"/>
  <c r="C493" i="3"/>
  <c r="D493" i="3"/>
  <c r="E493" i="3"/>
  <c r="F493" i="3"/>
  <c r="B494" i="3"/>
  <c r="C494" i="3"/>
  <c r="D494" i="3"/>
  <c r="E494" i="3"/>
  <c r="F494" i="3"/>
  <c r="B495" i="3"/>
  <c r="C495" i="3"/>
  <c r="D495" i="3"/>
  <c r="E495" i="3"/>
  <c r="F495" i="3"/>
  <c r="B496" i="3"/>
  <c r="C496" i="3"/>
  <c r="D496" i="3"/>
  <c r="E496" i="3"/>
  <c r="F496" i="3"/>
  <c r="B497" i="3"/>
  <c r="C497" i="3"/>
  <c r="D497" i="3"/>
  <c r="E497" i="3"/>
  <c r="F497" i="3"/>
  <c r="B498" i="3"/>
  <c r="C498" i="3"/>
  <c r="D498" i="3"/>
  <c r="E498" i="3"/>
  <c r="F498" i="3"/>
  <c r="B499" i="3"/>
  <c r="C499" i="3"/>
  <c r="D499" i="3"/>
  <c r="E499" i="3"/>
  <c r="F499" i="3"/>
  <c r="B500" i="3"/>
  <c r="C500" i="3"/>
  <c r="D500" i="3"/>
  <c r="E500" i="3"/>
  <c r="F500" i="3"/>
  <c r="B501" i="3"/>
  <c r="C501" i="3"/>
  <c r="D501" i="3"/>
  <c r="E501" i="3"/>
  <c r="F501" i="3"/>
  <c r="B502" i="3"/>
  <c r="C502" i="3"/>
  <c r="D502" i="3"/>
  <c r="E502" i="3"/>
  <c r="F502" i="3"/>
  <c r="B503" i="3"/>
  <c r="C503" i="3"/>
  <c r="D503" i="3"/>
  <c r="E503" i="3"/>
  <c r="F503" i="3"/>
  <c r="B504" i="3"/>
  <c r="C504" i="3"/>
  <c r="D504" i="3"/>
  <c r="E504" i="3"/>
  <c r="F504" i="3"/>
  <c r="B505" i="3"/>
  <c r="C505" i="3"/>
  <c r="D505" i="3"/>
  <c r="E505" i="3"/>
  <c r="F505" i="3"/>
  <c r="B506" i="3"/>
  <c r="C506" i="3"/>
  <c r="D506" i="3"/>
  <c r="E506" i="3"/>
  <c r="F506" i="3"/>
  <c r="B507" i="3"/>
  <c r="C507" i="3"/>
  <c r="D507" i="3"/>
  <c r="E507" i="3"/>
  <c r="F507" i="3"/>
  <c r="B508" i="3"/>
  <c r="C508" i="3"/>
  <c r="D508" i="3"/>
  <c r="E508" i="3"/>
  <c r="F508" i="3"/>
  <c r="B509" i="3"/>
  <c r="C509" i="3"/>
  <c r="D509" i="3"/>
  <c r="E509" i="3"/>
  <c r="F509" i="3"/>
  <c r="B510" i="3"/>
  <c r="C510" i="3"/>
  <c r="D510" i="3"/>
  <c r="E510" i="3"/>
  <c r="F510" i="3"/>
  <c r="B511" i="3"/>
  <c r="C511" i="3"/>
  <c r="D511" i="3"/>
  <c r="E511" i="3"/>
  <c r="F511" i="3"/>
  <c r="B512" i="3"/>
  <c r="C512" i="3"/>
  <c r="D512" i="3"/>
  <c r="E512" i="3"/>
  <c r="F512" i="3"/>
  <c r="B513" i="3"/>
  <c r="C513" i="3"/>
  <c r="D513" i="3"/>
  <c r="E513" i="3"/>
  <c r="F513" i="3"/>
  <c r="B514" i="3"/>
  <c r="C514" i="3"/>
  <c r="D514" i="3"/>
  <c r="E514" i="3"/>
  <c r="F514" i="3"/>
  <c r="B515" i="3"/>
  <c r="C515" i="3"/>
  <c r="D515" i="3"/>
  <c r="E515" i="3"/>
  <c r="F515" i="3"/>
  <c r="B516" i="3"/>
  <c r="C516" i="3"/>
  <c r="D516" i="3"/>
  <c r="E516" i="3"/>
  <c r="F516" i="3"/>
  <c r="B517" i="3"/>
  <c r="C517" i="3"/>
  <c r="D517" i="3"/>
  <c r="E517" i="3"/>
  <c r="F517" i="3"/>
  <c r="B518" i="3"/>
  <c r="C518" i="3"/>
  <c r="D518" i="3"/>
  <c r="E518" i="3"/>
  <c r="F518" i="3"/>
  <c r="B519" i="3"/>
  <c r="C519" i="3"/>
  <c r="D519" i="3"/>
  <c r="E519" i="3"/>
  <c r="F519" i="3"/>
  <c r="B520" i="3"/>
  <c r="C520" i="3"/>
  <c r="D520" i="3"/>
  <c r="E520" i="3"/>
  <c r="F520" i="3"/>
  <c r="B521" i="3"/>
  <c r="C521" i="3"/>
  <c r="D521" i="3"/>
  <c r="E521" i="3"/>
  <c r="F521" i="3"/>
  <c r="B522" i="3"/>
  <c r="C522" i="3"/>
  <c r="D522" i="3"/>
  <c r="E522" i="3"/>
  <c r="F522" i="3"/>
  <c r="B523" i="3"/>
  <c r="C523" i="3"/>
  <c r="D523" i="3"/>
  <c r="E523" i="3"/>
  <c r="F523" i="3"/>
  <c r="B524" i="3"/>
  <c r="C524" i="3"/>
  <c r="D524" i="3"/>
  <c r="E524" i="3"/>
  <c r="F524" i="3"/>
  <c r="B525" i="3"/>
  <c r="C525" i="3"/>
  <c r="D525" i="3"/>
  <c r="E525" i="3"/>
  <c r="F525" i="3"/>
  <c r="B526" i="3"/>
  <c r="C526" i="3"/>
  <c r="D526" i="3"/>
  <c r="E526" i="3"/>
  <c r="F526" i="3"/>
  <c r="B527" i="3"/>
  <c r="C527" i="3"/>
  <c r="D527" i="3"/>
  <c r="E527" i="3"/>
  <c r="F527" i="3"/>
  <c r="B528" i="3"/>
  <c r="C528" i="3"/>
  <c r="D528" i="3"/>
  <c r="E528" i="3"/>
  <c r="F528" i="3"/>
  <c r="B529" i="3"/>
  <c r="C529" i="3"/>
  <c r="D529" i="3"/>
  <c r="E529" i="3"/>
  <c r="F529" i="3"/>
  <c r="B530" i="3"/>
  <c r="C530" i="3"/>
  <c r="D530" i="3"/>
  <c r="E530" i="3"/>
  <c r="F530" i="3"/>
  <c r="B531" i="3"/>
  <c r="C531" i="3"/>
  <c r="D531" i="3"/>
  <c r="E531" i="3"/>
  <c r="F531" i="3"/>
  <c r="B532" i="3"/>
  <c r="C532" i="3"/>
  <c r="D532" i="3"/>
  <c r="E532" i="3"/>
  <c r="F532" i="3"/>
  <c r="B533" i="3"/>
  <c r="C533" i="3"/>
  <c r="D533" i="3"/>
  <c r="E533" i="3"/>
  <c r="F533" i="3"/>
  <c r="B534" i="3"/>
  <c r="C534" i="3"/>
  <c r="D534" i="3"/>
  <c r="E534" i="3"/>
  <c r="F534" i="3"/>
  <c r="B535" i="3"/>
  <c r="C535" i="3"/>
  <c r="D535" i="3"/>
  <c r="E535" i="3"/>
  <c r="F535" i="3"/>
  <c r="B536" i="3"/>
  <c r="C536" i="3"/>
  <c r="D536" i="3"/>
  <c r="E536" i="3"/>
  <c r="F536" i="3"/>
  <c r="B537" i="3"/>
  <c r="C537" i="3"/>
  <c r="D537" i="3"/>
  <c r="E537" i="3"/>
  <c r="F537" i="3"/>
  <c r="B538" i="3"/>
  <c r="C538" i="3"/>
  <c r="D538" i="3"/>
  <c r="E538" i="3"/>
  <c r="F538" i="3"/>
  <c r="B539" i="3"/>
  <c r="C539" i="3"/>
  <c r="D539" i="3"/>
  <c r="E539" i="3"/>
  <c r="F539" i="3"/>
  <c r="B540" i="3"/>
  <c r="C540" i="3"/>
  <c r="D540" i="3"/>
  <c r="E540" i="3"/>
  <c r="F540" i="3"/>
  <c r="B541" i="3"/>
  <c r="C541" i="3"/>
  <c r="D541" i="3"/>
  <c r="E541" i="3"/>
  <c r="F541" i="3"/>
  <c r="B542" i="3"/>
  <c r="C542" i="3"/>
  <c r="D542" i="3"/>
  <c r="E542" i="3"/>
  <c r="F542" i="3"/>
  <c r="B543" i="3"/>
  <c r="C543" i="3"/>
  <c r="D543" i="3"/>
  <c r="E543" i="3"/>
  <c r="F543" i="3"/>
  <c r="B544" i="3"/>
  <c r="C544" i="3"/>
  <c r="D544" i="3"/>
  <c r="E544" i="3"/>
  <c r="F544" i="3"/>
  <c r="B545" i="3"/>
  <c r="C545" i="3"/>
  <c r="D545" i="3"/>
  <c r="E545" i="3"/>
  <c r="F545" i="3"/>
  <c r="B546" i="3"/>
  <c r="C546" i="3"/>
  <c r="D546" i="3"/>
  <c r="E546" i="3"/>
  <c r="F546" i="3"/>
  <c r="B547" i="3"/>
  <c r="C547" i="3"/>
  <c r="D547" i="3"/>
  <c r="E547" i="3"/>
  <c r="F547" i="3"/>
  <c r="B548" i="3"/>
  <c r="C548" i="3"/>
  <c r="D548" i="3"/>
  <c r="E548" i="3"/>
  <c r="F548" i="3"/>
  <c r="B549" i="3"/>
  <c r="C549" i="3"/>
  <c r="D549" i="3"/>
  <c r="E549" i="3"/>
  <c r="F549" i="3"/>
  <c r="B550" i="3"/>
  <c r="C550" i="3"/>
  <c r="D550" i="3"/>
  <c r="E550" i="3"/>
  <c r="F550" i="3"/>
  <c r="F401" i="3"/>
  <c r="E401" i="3"/>
  <c r="D401" i="3"/>
  <c r="C401" i="3"/>
  <c r="B401" i="3"/>
  <c r="B237" i="3"/>
  <c r="C237" i="3"/>
  <c r="D237" i="3"/>
  <c r="E237" i="3"/>
  <c r="F237" i="3"/>
  <c r="B238" i="3"/>
  <c r="C238" i="3"/>
  <c r="D238" i="3"/>
  <c r="E238" i="3"/>
  <c r="F238" i="3"/>
  <c r="B239" i="3"/>
  <c r="C239" i="3"/>
  <c r="D239" i="3"/>
  <c r="E239" i="3"/>
  <c r="F239" i="3"/>
  <c r="B240" i="3"/>
  <c r="C240" i="3"/>
  <c r="D240" i="3"/>
  <c r="E240" i="3"/>
  <c r="F240" i="3"/>
  <c r="B241" i="3"/>
  <c r="C241" i="3"/>
  <c r="D241" i="3"/>
  <c r="E241" i="3"/>
  <c r="F241" i="3"/>
  <c r="B242" i="3"/>
  <c r="C242" i="3"/>
  <c r="D242" i="3"/>
  <c r="E242" i="3"/>
  <c r="F242" i="3"/>
  <c r="B243" i="3"/>
  <c r="C243" i="3"/>
  <c r="D243" i="3"/>
  <c r="E243" i="3"/>
  <c r="F243" i="3"/>
  <c r="B244" i="3"/>
  <c r="C244" i="3"/>
  <c r="D244" i="3"/>
  <c r="E244" i="3"/>
  <c r="F244" i="3"/>
  <c r="B245" i="3"/>
  <c r="C245" i="3"/>
  <c r="D245" i="3"/>
  <c r="E245" i="3"/>
  <c r="F245" i="3"/>
  <c r="B246" i="3"/>
  <c r="C246" i="3"/>
  <c r="D246" i="3"/>
  <c r="E246" i="3"/>
  <c r="F246" i="3"/>
  <c r="B247" i="3"/>
  <c r="C247" i="3"/>
  <c r="D247" i="3"/>
  <c r="E247" i="3"/>
  <c r="F247" i="3"/>
  <c r="B248" i="3"/>
  <c r="C248" i="3"/>
  <c r="D248" i="3"/>
  <c r="E248" i="3"/>
  <c r="F248" i="3"/>
  <c r="B249" i="3"/>
  <c r="C249" i="3"/>
  <c r="D249" i="3"/>
  <c r="E249" i="3"/>
  <c r="F249" i="3"/>
  <c r="B250" i="3"/>
  <c r="C250" i="3"/>
  <c r="D250" i="3"/>
  <c r="E250" i="3"/>
  <c r="F250" i="3"/>
  <c r="B251" i="3"/>
  <c r="C251" i="3"/>
  <c r="D251" i="3"/>
  <c r="E251" i="3"/>
  <c r="F251" i="3"/>
  <c r="B252" i="3"/>
  <c r="C252" i="3"/>
  <c r="D252" i="3"/>
  <c r="E252" i="3"/>
  <c r="F252" i="3"/>
  <c r="B253" i="3"/>
  <c r="C253" i="3"/>
  <c r="D253" i="3"/>
  <c r="E253" i="3"/>
  <c r="F253" i="3"/>
  <c r="B254" i="3"/>
  <c r="C254" i="3"/>
  <c r="D254" i="3"/>
  <c r="E254" i="3"/>
  <c r="F254" i="3"/>
  <c r="B255" i="3"/>
  <c r="C255" i="3"/>
  <c r="D255" i="3"/>
  <c r="E255" i="3"/>
  <c r="F255" i="3"/>
  <c r="B256" i="3"/>
  <c r="C256" i="3"/>
  <c r="D256" i="3"/>
  <c r="E256" i="3"/>
  <c r="F256" i="3"/>
  <c r="B257" i="3"/>
  <c r="C257" i="3"/>
  <c r="D257" i="3"/>
  <c r="E257" i="3"/>
  <c r="F257" i="3"/>
  <c r="B258" i="3"/>
  <c r="C258" i="3"/>
  <c r="D258" i="3"/>
  <c r="E258" i="3"/>
  <c r="F258" i="3"/>
  <c r="B259" i="3"/>
  <c r="C259" i="3"/>
  <c r="D259" i="3"/>
  <c r="E259" i="3"/>
  <c r="F259" i="3"/>
  <c r="B260" i="3"/>
  <c r="C260" i="3"/>
  <c r="D260" i="3"/>
  <c r="E260" i="3"/>
  <c r="F260" i="3"/>
  <c r="B261" i="3"/>
  <c r="C261" i="3"/>
  <c r="D261" i="3"/>
  <c r="E261" i="3"/>
  <c r="F261" i="3"/>
  <c r="B262" i="3"/>
  <c r="C262" i="3"/>
  <c r="D262" i="3"/>
  <c r="E262" i="3"/>
  <c r="F262" i="3"/>
  <c r="B263" i="3"/>
  <c r="C263" i="3"/>
  <c r="D263" i="3"/>
  <c r="E263" i="3"/>
  <c r="F263" i="3"/>
  <c r="B264" i="3"/>
  <c r="C264" i="3"/>
  <c r="D264" i="3"/>
  <c r="E264" i="3"/>
  <c r="F264" i="3"/>
  <c r="B265" i="3"/>
  <c r="C265" i="3"/>
  <c r="D265" i="3"/>
  <c r="E265" i="3"/>
  <c r="F265" i="3"/>
  <c r="B266" i="3"/>
  <c r="C266" i="3"/>
  <c r="D266" i="3"/>
  <c r="E266" i="3"/>
  <c r="F266" i="3"/>
  <c r="B267" i="3"/>
  <c r="C267" i="3"/>
  <c r="D267" i="3"/>
  <c r="E267" i="3"/>
  <c r="F267" i="3"/>
  <c r="B268" i="3"/>
  <c r="C268" i="3"/>
  <c r="D268" i="3"/>
  <c r="E268" i="3"/>
  <c r="F268" i="3"/>
  <c r="B269" i="3"/>
  <c r="C269" i="3"/>
  <c r="D269" i="3"/>
  <c r="E269" i="3"/>
  <c r="F269" i="3"/>
  <c r="B270" i="3"/>
  <c r="C270" i="3"/>
  <c r="D270" i="3"/>
  <c r="E270" i="3"/>
  <c r="F270" i="3"/>
  <c r="B271" i="3"/>
  <c r="C271" i="3"/>
  <c r="D271" i="3"/>
  <c r="E271" i="3"/>
  <c r="F271" i="3"/>
  <c r="B272" i="3"/>
  <c r="C272" i="3"/>
  <c r="D272" i="3"/>
  <c r="E272" i="3"/>
  <c r="F272" i="3"/>
  <c r="B273" i="3"/>
  <c r="C273" i="3"/>
  <c r="D273" i="3"/>
  <c r="E273" i="3"/>
  <c r="F273" i="3"/>
  <c r="B274" i="3"/>
  <c r="C274" i="3"/>
  <c r="D274" i="3"/>
  <c r="E274" i="3"/>
  <c r="F274" i="3"/>
  <c r="B275" i="3"/>
  <c r="C275" i="3"/>
  <c r="D275" i="3"/>
  <c r="E275" i="3"/>
  <c r="F275" i="3"/>
  <c r="B276" i="3"/>
  <c r="C276" i="3"/>
  <c r="D276" i="3"/>
  <c r="E276" i="3"/>
  <c r="F276" i="3"/>
  <c r="B277" i="3"/>
  <c r="C277" i="3"/>
  <c r="D277" i="3"/>
  <c r="E277" i="3"/>
  <c r="F277" i="3"/>
  <c r="B278" i="3"/>
  <c r="C278" i="3"/>
  <c r="D278" i="3"/>
  <c r="E278" i="3"/>
  <c r="F278" i="3"/>
  <c r="B279" i="3"/>
  <c r="C279" i="3"/>
  <c r="D279" i="3"/>
  <c r="E279" i="3"/>
  <c r="F279" i="3"/>
  <c r="B280" i="3"/>
  <c r="C280" i="3"/>
  <c r="D280" i="3"/>
  <c r="E280" i="3"/>
  <c r="F280" i="3"/>
  <c r="B281" i="3"/>
  <c r="C281" i="3"/>
  <c r="D281" i="3"/>
  <c r="E281" i="3"/>
  <c r="F281" i="3"/>
  <c r="B282" i="3"/>
  <c r="C282" i="3"/>
  <c r="D282" i="3"/>
  <c r="E282" i="3"/>
  <c r="F282" i="3"/>
  <c r="B283" i="3"/>
  <c r="C283" i="3"/>
  <c r="D283" i="3"/>
  <c r="E283" i="3"/>
  <c r="F283" i="3"/>
  <c r="B284" i="3"/>
  <c r="C284" i="3"/>
  <c r="D284" i="3"/>
  <c r="E284" i="3"/>
  <c r="F284" i="3"/>
  <c r="B285" i="3"/>
  <c r="C285" i="3"/>
  <c r="D285" i="3"/>
  <c r="E285" i="3"/>
  <c r="F285" i="3"/>
  <c r="B286" i="3"/>
  <c r="C286" i="3"/>
  <c r="D286" i="3"/>
  <c r="E286" i="3"/>
  <c r="F286" i="3"/>
  <c r="B287" i="3"/>
  <c r="C287" i="3"/>
  <c r="D287" i="3"/>
  <c r="E287" i="3"/>
  <c r="F287" i="3"/>
  <c r="B288" i="3"/>
  <c r="C288" i="3"/>
  <c r="D288" i="3"/>
  <c r="E288" i="3"/>
  <c r="F288" i="3"/>
  <c r="B289" i="3"/>
  <c r="C289" i="3"/>
  <c r="D289" i="3"/>
  <c r="E289" i="3"/>
  <c r="F289" i="3"/>
  <c r="B290" i="3"/>
  <c r="C290" i="3"/>
  <c r="D290" i="3"/>
  <c r="E290" i="3"/>
  <c r="F290" i="3"/>
  <c r="B291" i="3"/>
  <c r="C291" i="3"/>
  <c r="D291" i="3"/>
  <c r="E291" i="3"/>
  <c r="F291" i="3"/>
  <c r="B292" i="3"/>
  <c r="C292" i="3"/>
  <c r="D292" i="3"/>
  <c r="E292" i="3"/>
  <c r="F292" i="3"/>
  <c r="B293" i="3"/>
  <c r="C293" i="3"/>
  <c r="D293" i="3"/>
  <c r="E293" i="3"/>
  <c r="F293" i="3"/>
  <c r="B294" i="3"/>
  <c r="C294" i="3"/>
  <c r="D294" i="3"/>
  <c r="E294" i="3"/>
  <c r="F294" i="3"/>
  <c r="B295" i="3"/>
  <c r="C295" i="3"/>
  <c r="D295" i="3"/>
  <c r="E295" i="3"/>
  <c r="F295" i="3"/>
  <c r="B296" i="3"/>
  <c r="C296" i="3"/>
  <c r="D296" i="3"/>
  <c r="E296" i="3"/>
  <c r="F296" i="3"/>
  <c r="B297" i="3"/>
  <c r="C297" i="3"/>
  <c r="D297" i="3"/>
  <c r="E297" i="3"/>
  <c r="F297" i="3"/>
  <c r="B298" i="3"/>
  <c r="C298" i="3"/>
  <c r="D298" i="3"/>
  <c r="E298" i="3"/>
  <c r="F298" i="3"/>
  <c r="B299" i="3"/>
  <c r="C299" i="3"/>
  <c r="D299" i="3"/>
  <c r="E299" i="3"/>
  <c r="F299" i="3"/>
  <c r="B300" i="3"/>
  <c r="C300" i="3"/>
  <c r="D300" i="3"/>
  <c r="E300" i="3"/>
  <c r="F300" i="3"/>
  <c r="B301" i="3"/>
  <c r="C301" i="3"/>
  <c r="D301" i="3"/>
  <c r="E301" i="3"/>
  <c r="F301" i="3"/>
  <c r="B201" i="3"/>
  <c r="C201" i="3"/>
  <c r="D201" i="3"/>
  <c r="E201" i="3"/>
  <c r="F201" i="3"/>
  <c r="B202" i="3"/>
  <c r="C202" i="3"/>
  <c r="D202" i="3"/>
  <c r="E202" i="3"/>
  <c r="F202" i="3"/>
  <c r="B203" i="3"/>
  <c r="C203" i="3"/>
  <c r="D203" i="3"/>
  <c r="E203" i="3"/>
  <c r="F203" i="3"/>
  <c r="B204" i="3"/>
  <c r="C204" i="3"/>
  <c r="D204" i="3"/>
  <c r="E204" i="3"/>
  <c r="F204" i="3"/>
  <c r="B205" i="3"/>
  <c r="C205" i="3"/>
  <c r="D205" i="3"/>
  <c r="E205" i="3"/>
  <c r="F205" i="3"/>
  <c r="B206" i="3"/>
  <c r="C206" i="3"/>
  <c r="D206" i="3"/>
  <c r="E206" i="3"/>
  <c r="F206" i="3"/>
  <c r="B207" i="3"/>
  <c r="C207" i="3"/>
  <c r="D207" i="3"/>
  <c r="E207" i="3"/>
  <c r="F207" i="3"/>
  <c r="B208" i="3"/>
  <c r="C208" i="3"/>
  <c r="D208" i="3"/>
  <c r="E208" i="3"/>
  <c r="F208" i="3"/>
  <c r="B209" i="3"/>
  <c r="C209" i="3"/>
  <c r="D209" i="3"/>
  <c r="E209" i="3"/>
  <c r="F209" i="3"/>
  <c r="B210" i="3"/>
  <c r="C210" i="3"/>
  <c r="D210" i="3"/>
  <c r="E210" i="3"/>
  <c r="F210" i="3"/>
  <c r="B211" i="3"/>
  <c r="C211" i="3"/>
  <c r="D211" i="3"/>
  <c r="E211" i="3"/>
  <c r="F211" i="3"/>
  <c r="B212" i="3"/>
  <c r="C212" i="3"/>
  <c r="D212" i="3"/>
  <c r="E212" i="3"/>
  <c r="F212" i="3"/>
  <c r="B213" i="3"/>
  <c r="C213" i="3"/>
  <c r="D213" i="3"/>
  <c r="E213" i="3"/>
  <c r="F213" i="3"/>
  <c r="B214" i="3"/>
  <c r="C214" i="3"/>
  <c r="D214" i="3"/>
  <c r="E214" i="3"/>
  <c r="F214" i="3"/>
  <c r="B215" i="3"/>
  <c r="C215" i="3"/>
  <c r="D215" i="3"/>
  <c r="E215" i="3"/>
  <c r="F215" i="3"/>
  <c r="B216" i="3"/>
  <c r="C216" i="3"/>
  <c r="D216" i="3"/>
  <c r="E216" i="3"/>
  <c r="F216" i="3"/>
  <c r="B217" i="3"/>
  <c r="C217" i="3"/>
  <c r="D217" i="3"/>
  <c r="E217" i="3"/>
  <c r="F217" i="3"/>
  <c r="B218" i="3"/>
  <c r="C218" i="3"/>
  <c r="D218" i="3"/>
  <c r="E218" i="3"/>
  <c r="F218" i="3"/>
  <c r="B219" i="3"/>
  <c r="C219" i="3"/>
  <c r="D219" i="3"/>
  <c r="E219" i="3"/>
  <c r="F219" i="3"/>
  <c r="B220" i="3"/>
  <c r="C220" i="3"/>
  <c r="D220" i="3"/>
  <c r="E220" i="3"/>
  <c r="F220" i="3"/>
  <c r="B221" i="3"/>
  <c r="C221" i="3"/>
  <c r="D221" i="3"/>
  <c r="E221" i="3"/>
  <c r="F221" i="3"/>
  <c r="B222" i="3"/>
  <c r="C222" i="3"/>
  <c r="D222" i="3"/>
  <c r="E222" i="3"/>
  <c r="F222" i="3"/>
  <c r="B223" i="3"/>
  <c r="C223" i="3"/>
  <c r="D223" i="3"/>
  <c r="E223" i="3"/>
  <c r="F223" i="3"/>
  <c r="B224" i="3"/>
  <c r="C224" i="3"/>
  <c r="D224" i="3"/>
  <c r="E224" i="3"/>
  <c r="F224" i="3"/>
  <c r="B225" i="3"/>
  <c r="C225" i="3"/>
  <c r="D225" i="3"/>
  <c r="E225" i="3"/>
  <c r="F225" i="3"/>
  <c r="B226" i="3"/>
  <c r="C226" i="3"/>
  <c r="D226" i="3"/>
  <c r="E226" i="3"/>
  <c r="F226" i="3"/>
  <c r="B227" i="3"/>
  <c r="C227" i="3"/>
  <c r="D227" i="3"/>
  <c r="E227" i="3"/>
  <c r="F227" i="3"/>
  <c r="B228" i="3"/>
  <c r="C228" i="3"/>
  <c r="D228" i="3"/>
  <c r="E228" i="3"/>
  <c r="F228" i="3"/>
  <c r="B229" i="3"/>
  <c r="C229" i="3"/>
  <c r="D229" i="3"/>
  <c r="E229" i="3"/>
  <c r="F229" i="3"/>
  <c r="B230" i="3"/>
  <c r="C230" i="3"/>
  <c r="D230" i="3"/>
  <c r="E230" i="3"/>
  <c r="F230" i="3"/>
  <c r="B231" i="3"/>
  <c r="C231" i="3"/>
  <c r="D231" i="3"/>
  <c r="E231" i="3"/>
  <c r="F231" i="3"/>
  <c r="B232" i="3"/>
  <c r="C232" i="3"/>
  <c r="D232" i="3"/>
  <c r="E232" i="3"/>
  <c r="F232" i="3"/>
  <c r="B233" i="3"/>
  <c r="C233" i="3"/>
  <c r="D233" i="3"/>
  <c r="E233" i="3"/>
  <c r="F233" i="3"/>
  <c r="B234" i="3"/>
  <c r="C234" i="3"/>
  <c r="D234" i="3"/>
  <c r="E234" i="3"/>
  <c r="F234" i="3"/>
  <c r="B235" i="3"/>
  <c r="C235" i="3"/>
  <c r="D235" i="3"/>
  <c r="E235" i="3"/>
  <c r="F235" i="3"/>
  <c r="B236" i="3"/>
  <c r="C236" i="3"/>
  <c r="D236" i="3"/>
  <c r="E236" i="3"/>
  <c r="F236" i="3"/>
  <c r="B115" i="3"/>
  <c r="C115" i="3"/>
  <c r="D115" i="3"/>
  <c r="E115" i="3"/>
  <c r="F115" i="3"/>
  <c r="B116" i="3"/>
  <c r="C116" i="3"/>
  <c r="D116" i="3"/>
  <c r="E116" i="3"/>
  <c r="F116" i="3"/>
  <c r="B117" i="3"/>
  <c r="C117" i="3"/>
  <c r="D117" i="3"/>
  <c r="E117" i="3"/>
  <c r="F117" i="3"/>
  <c r="B118" i="3"/>
  <c r="C118" i="3"/>
  <c r="D118" i="3"/>
  <c r="E118" i="3"/>
  <c r="F118" i="3"/>
  <c r="B119" i="3"/>
  <c r="C119" i="3"/>
  <c r="D119" i="3"/>
  <c r="E119" i="3"/>
  <c r="F119" i="3"/>
  <c r="B120" i="3"/>
  <c r="C120" i="3"/>
  <c r="D120" i="3"/>
  <c r="E120" i="3"/>
  <c r="F120" i="3"/>
  <c r="B121" i="3"/>
  <c r="C121" i="3"/>
  <c r="D121" i="3"/>
  <c r="E121" i="3"/>
  <c r="F121" i="3"/>
  <c r="B122" i="3"/>
  <c r="C122" i="3"/>
  <c r="D122" i="3"/>
  <c r="E122" i="3"/>
  <c r="F122" i="3"/>
  <c r="B123" i="3"/>
  <c r="C123" i="3"/>
  <c r="D123" i="3"/>
  <c r="E123" i="3"/>
  <c r="F123" i="3"/>
  <c r="B124" i="3"/>
  <c r="C124" i="3"/>
  <c r="D124" i="3"/>
  <c r="E124" i="3"/>
  <c r="F124" i="3"/>
  <c r="B125" i="3"/>
  <c r="C125" i="3"/>
  <c r="D125" i="3"/>
  <c r="E125" i="3"/>
  <c r="F125" i="3"/>
  <c r="B126" i="3"/>
  <c r="C126" i="3"/>
  <c r="D126" i="3"/>
  <c r="E126" i="3"/>
  <c r="F126" i="3"/>
  <c r="B127" i="3"/>
  <c r="C127" i="3"/>
  <c r="D127" i="3"/>
  <c r="E127" i="3"/>
  <c r="F127" i="3"/>
  <c r="B128" i="3"/>
  <c r="C128" i="3"/>
  <c r="D128" i="3"/>
  <c r="E128" i="3"/>
  <c r="F128" i="3"/>
  <c r="B129" i="3"/>
  <c r="C129" i="3"/>
  <c r="D129" i="3"/>
  <c r="E129" i="3"/>
  <c r="F129" i="3"/>
  <c r="B130" i="3"/>
  <c r="C130" i="3"/>
  <c r="D130" i="3"/>
  <c r="E130" i="3"/>
  <c r="F130" i="3"/>
  <c r="B131" i="3"/>
  <c r="C131" i="3"/>
  <c r="D131" i="3"/>
  <c r="E131" i="3"/>
  <c r="F131" i="3"/>
  <c r="B132" i="3"/>
  <c r="C132" i="3"/>
  <c r="D132" i="3"/>
  <c r="E132" i="3"/>
  <c r="F132" i="3"/>
  <c r="B133" i="3"/>
  <c r="C133" i="3"/>
  <c r="D133" i="3"/>
  <c r="E133" i="3"/>
  <c r="F133" i="3"/>
  <c r="B134" i="3"/>
  <c r="C134" i="3"/>
  <c r="D134" i="3"/>
  <c r="E134" i="3"/>
  <c r="F134" i="3"/>
  <c r="B135" i="3"/>
  <c r="C135" i="3"/>
  <c r="D135" i="3"/>
  <c r="E135" i="3"/>
  <c r="F135" i="3"/>
  <c r="B136" i="3"/>
  <c r="C136" i="3"/>
  <c r="D136" i="3"/>
  <c r="E136" i="3"/>
  <c r="F136" i="3"/>
  <c r="B137" i="3"/>
  <c r="C137" i="3"/>
  <c r="D137" i="3"/>
  <c r="E137" i="3"/>
  <c r="F137" i="3"/>
  <c r="B138" i="3"/>
  <c r="C138" i="3"/>
  <c r="D138" i="3"/>
  <c r="E138" i="3"/>
  <c r="F138" i="3"/>
  <c r="B139" i="3"/>
  <c r="C139" i="3"/>
  <c r="D139" i="3"/>
  <c r="E139" i="3"/>
  <c r="F139" i="3"/>
  <c r="B140" i="3"/>
  <c r="C140" i="3"/>
  <c r="D140" i="3"/>
  <c r="E140" i="3"/>
  <c r="F140" i="3"/>
  <c r="B141" i="3"/>
  <c r="C141" i="3"/>
  <c r="D141" i="3"/>
  <c r="E141" i="3"/>
  <c r="F141" i="3"/>
  <c r="B142" i="3"/>
  <c r="C142" i="3"/>
  <c r="D142" i="3"/>
  <c r="E142" i="3"/>
  <c r="F142" i="3"/>
  <c r="B143" i="3"/>
  <c r="C143" i="3"/>
  <c r="D143" i="3"/>
  <c r="E143" i="3"/>
  <c r="F143" i="3"/>
  <c r="B144" i="3"/>
  <c r="C144" i="3"/>
  <c r="D144" i="3"/>
  <c r="E144" i="3"/>
  <c r="F144" i="3"/>
  <c r="B145" i="3"/>
  <c r="C145" i="3"/>
  <c r="D145" i="3"/>
  <c r="E145" i="3"/>
  <c r="F145" i="3"/>
  <c r="B146" i="3"/>
  <c r="C146" i="3"/>
  <c r="D146" i="3"/>
  <c r="E146" i="3"/>
  <c r="F146" i="3"/>
  <c r="B147" i="3"/>
  <c r="C147" i="3"/>
  <c r="D147" i="3"/>
  <c r="E147" i="3"/>
  <c r="F147" i="3"/>
  <c r="B148" i="3"/>
  <c r="C148" i="3"/>
  <c r="D148" i="3"/>
  <c r="E148" i="3"/>
  <c r="F148" i="3"/>
  <c r="B149" i="3"/>
  <c r="C149" i="3"/>
  <c r="D149" i="3"/>
  <c r="E149" i="3"/>
  <c r="F149" i="3"/>
  <c r="B150" i="3"/>
  <c r="C150" i="3"/>
  <c r="D150" i="3"/>
  <c r="E150" i="3"/>
  <c r="F150" i="3"/>
  <c r="B151" i="3"/>
  <c r="C151" i="3"/>
  <c r="D151" i="3"/>
  <c r="E151" i="3"/>
  <c r="F151" i="3"/>
  <c r="B152" i="3"/>
  <c r="C152" i="3"/>
  <c r="D152" i="3"/>
  <c r="E152" i="3"/>
  <c r="F152" i="3"/>
  <c r="B153" i="3"/>
  <c r="C153" i="3"/>
  <c r="D153" i="3"/>
  <c r="E153" i="3"/>
  <c r="F153" i="3"/>
  <c r="B154" i="3"/>
  <c r="C154" i="3"/>
  <c r="D154" i="3"/>
  <c r="E154" i="3"/>
  <c r="F154" i="3"/>
  <c r="B155" i="3"/>
  <c r="C155" i="3"/>
  <c r="D155" i="3"/>
  <c r="E155" i="3"/>
  <c r="F155" i="3"/>
  <c r="B156" i="3"/>
  <c r="C156" i="3"/>
  <c r="D156" i="3"/>
  <c r="E156" i="3"/>
  <c r="F156" i="3"/>
  <c r="B157" i="3"/>
  <c r="C157" i="3"/>
  <c r="D157" i="3"/>
  <c r="E157" i="3"/>
  <c r="F157" i="3"/>
  <c r="B158" i="3"/>
  <c r="C158" i="3"/>
  <c r="D158" i="3"/>
  <c r="E158" i="3"/>
  <c r="F158" i="3"/>
  <c r="B159" i="3"/>
  <c r="C159" i="3"/>
  <c r="D159" i="3"/>
  <c r="E159" i="3"/>
  <c r="F159" i="3"/>
  <c r="B160" i="3"/>
  <c r="C160" i="3"/>
  <c r="D160" i="3"/>
  <c r="E160" i="3"/>
  <c r="F160" i="3"/>
  <c r="B161" i="3"/>
  <c r="C161" i="3"/>
  <c r="D161" i="3"/>
  <c r="E161" i="3"/>
  <c r="F161" i="3"/>
  <c r="B162" i="3"/>
  <c r="C162" i="3"/>
  <c r="D162" i="3"/>
  <c r="E162" i="3"/>
  <c r="F162" i="3"/>
  <c r="B163" i="3"/>
  <c r="C163" i="3"/>
  <c r="D163" i="3"/>
  <c r="E163" i="3"/>
  <c r="F163" i="3"/>
  <c r="B164" i="3"/>
  <c r="C164" i="3"/>
  <c r="D164" i="3"/>
  <c r="E164" i="3"/>
  <c r="F164" i="3"/>
  <c r="B165" i="3"/>
  <c r="C165" i="3"/>
  <c r="D165" i="3"/>
  <c r="E165" i="3"/>
  <c r="F165" i="3"/>
  <c r="B166" i="3"/>
  <c r="C166" i="3"/>
  <c r="D166" i="3"/>
  <c r="E166" i="3"/>
  <c r="F166" i="3"/>
  <c r="B167" i="3"/>
  <c r="C167" i="3"/>
  <c r="D167" i="3"/>
  <c r="E167" i="3"/>
  <c r="F167" i="3"/>
  <c r="B168" i="3"/>
  <c r="C168" i="3"/>
  <c r="D168" i="3"/>
  <c r="E168" i="3"/>
  <c r="F168" i="3"/>
  <c r="B169" i="3"/>
  <c r="C169" i="3"/>
  <c r="D169" i="3"/>
  <c r="E169" i="3"/>
  <c r="F169" i="3"/>
  <c r="B170" i="3"/>
  <c r="C170" i="3"/>
  <c r="D170" i="3"/>
  <c r="E170" i="3"/>
  <c r="F170" i="3"/>
  <c r="B171" i="3"/>
  <c r="C171" i="3"/>
  <c r="D171" i="3"/>
  <c r="E171" i="3"/>
  <c r="F171" i="3"/>
  <c r="B172" i="3"/>
  <c r="C172" i="3"/>
  <c r="D172" i="3"/>
  <c r="E172" i="3"/>
  <c r="F172" i="3"/>
  <c r="B173" i="3"/>
  <c r="C173" i="3"/>
  <c r="D173" i="3"/>
  <c r="E173" i="3"/>
  <c r="F173" i="3"/>
  <c r="B174" i="3"/>
  <c r="C174" i="3"/>
  <c r="D174" i="3"/>
  <c r="E174" i="3"/>
  <c r="F174" i="3"/>
  <c r="B175" i="3"/>
  <c r="C175" i="3"/>
  <c r="D175" i="3"/>
  <c r="E175" i="3"/>
  <c r="F175" i="3"/>
  <c r="B176" i="3"/>
  <c r="C176" i="3"/>
  <c r="D176" i="3"/>
  <c r="E176" i="3"/>
  <c r="F176" i="3"/>
  <c r="B177" i="3"/>
  <c r="C177" i="3"/>
  <c r="D177" i="3"/>
  <c r="E177" i="3"/>
  <c r="F177" i="3"/>
  <c r="B178" i="3"/>
  <c r="C178" i="3"/>
  <c r="D178" i="3"/>
  <c r="E178" i="3"/>
  <c r="F178" i="3"/>
  <c r="B179" i="3"/>
  <c r="C179" i="3"/>
  <c r="D179" i="3"/>
  <c r="E179" i="3"/>
  <c r="F179" i="3"/>
  <c r="B180" i="3"/>
  <c r="C180" i="3"/>
  <c r="D180" i="3"/>
  <c r="E180" i="3"/>
  <c r="F180" i="3"/>
  <c r="B181" i="3"/>
  <c r="C181" i="3"/>
  <c r="D181" i="3"/>
  <c r="E181" i="3"/>
  <c r="F181" i="3"/>
  <c r="B182" i="3"/>
  <c r="C182" i="3"/>
  <c r="D182" i="3"/>
  <c r="E182" i="3"/>
  <c r="F182" i="3"/>
  <c r="B183" i="3"/>
  <c r="C183" i="3"/>
  <c r="D183" i="3"/>
  <c r="E183" i="3"/>
  <c r="F183" i="3"/>
  <c r="B184" i="3"/>
  <c r="C184" i="3"/>
  <c r="D184" i="3"/>
  <c r="E184" i="3"/>
  <c r="F184" i="3"/>
  <c r="B185" i="3"/>
  <c r="C185" i="3"/>
  <c r="D185" i="3"/>
  <c r="E185" i="3"/>
  <c r="F185" i="3"/>
  <c r="B186" i="3"/>
  <c r="C186" i="3"/>
  <c r="D186" i="3"/>
  <c r="E186" i="3"/>
  <c r="F186" i="3"/>
  <c r="B187" i="3"/>
  <c r="C187" i="3"/>
  <c r="D187" i="3"/>
  <c r="E187" i="3"/>
  <c r="F187" i="3"/>
  <c r="B188" i="3"/>
  <c r="C188" i="3"/>
  <c r="D188" i="3"/>
  <c r="E188" i="3"/>
  <c r="F188" i="3"/>
  <c r="B189" i="3"/>
  <c r="C189" i="3"/>
  <c r="D189" i="3"/>
  <c r="E189" i="3"/>
  <c r="F189" i="3"/>
  <c r="B190" i="3"/>
  <c r="C190" i="3"/>
  <c r="D190" i="3"/>
  <c r="E190" i="3"/>
  <c r="F190" i="3"/>
  <c r="B191" i="3"/>
  <c r="C191" i="3"/>
  <c r="D191" i="3"/>
  <c r="E191" i="3"/>
  <c r="F191" i="3"/>
  <c r="B192" i="3"/>
  <c r="C192" i="3"/>
  <c r="D192" i="3"/>
  <c r="E192" i="3"/>
  <c r="F192" i="3"/>
  <c r="B193" i="3"/>
  <c r="C193" i="3"/>
  <c r="D193" i="3"/>
  <c r="E193" i="3"/>
  <c r="F193" i="3"/>
  <c r="B194" i="3"/>
  <c r="C194" i="3"/>
  <c r="D194" i="3"/>
  <c r="E194" i="3"/>
  <c r="F194" i="3"/>
  <c r="B195" i="3"/>
  <c r="C195" i="3"/>
  <c r="D195" i="3"/>
  <c r="E195" i="3"/>
  <c r="F195" i="3"/>
  <c r="B196" i="3"/>
  <c r="C196" i="3"/>
  <c r="D196" i="3"/>
  <c r="E196" i="3"/>
  <c r="F196" i="3"/>
  <c r="B197" i="3"/>
  <c r="C197" i="3"/>
  <c r="D197" i="3"/>
  <c r="E197" i="3"/>
  <c r="F197" i="3"/>
  <c r="B198" i="3"/>
  <c r="C198" i="3"/>
  <c r="D198" i="3"/>
  <c r="E198" i="3"/>
  <c r="F198" i="3"/>
  <c r="B199" i="3"/>
  <c r="C199" i="3"/>
  <c r="D199" i="3"/>
  <c r="E199" i="3"/>
  <c r="F199" i="3"/>
  <c r="B200" i="3"/>
  <c r="C200" i="3"/>
  <c r="D200" i="3"/>
  <c r="E200" i="3"/>
  <c r="F200" i="3"/>
  <c r="B3" i="3"/>
  <c r="C3" i="3"/>
  <c r="D3" i="3"/>
  <c r="E3" i="3"/>
  <c r="F3" i="3"/>
  <c r="B4" i="3"/>
  <c r="C4" i="3"/>
  <c r="D4" i="3"/>
  <c r="E4" i="3"/>
  <c r="F4" i="3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D14" i="3"/>
  <c r="E14" i="3"/>
  <c r="F14" i="3"/>
  <c r="B15" i="3"/>
  <c r="C15" i="3"/>
  <c r="D15" i="3"/>
  <c r="E15" i="3"/>
  <c r="F15" i="3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B20" i="3"/>
  <c r="C20" i="3"/>
  <c r="D20" i="3"/>
  <c r="E20" i="3"/>
  <c r="F20" i="3"/>
  <c r="B21" i="3"/>
  <c r="C21" i="3"/>
  <c r="D21" i="3"/>
  <c r="E21" i="3"/>
  <c r="F21" i="3"/>
  <c r="B22" i="3"/>
  <c r="C22" i="3"/>
  <c r="D22" i="3"/>
  <c r="E22" i="3"/>
  <c r="F22" i="3"/>
  <c r="B23" i="3"/>
  <c r="C23" i="3"/>
  <c r="D23" i="3"/>
  <c r="E23" i="3"/>
  <c r="F23" i="3"/>
  <c r="B24" i="3"/>
  <c r="C24" i="3"/>
  <c r="D24" i="3"/>
  <c r="E24" i="3"/>
  <c r="F24" i="3"/>
  <c r="B25" i="3"/>
  <c r="C25" i="3"/>
  <c r="D25" i="3"/>
  <c r="E25" i="3"/>
  <c r="F25" i="3"/>
  <c r="B26" i="3"/>
  <c r="C26" i="3"/>
  <c r="D26" i="3"/>
  <c r="E26" i="3"/>
  <c r="F26" i="3"/>
  <c r="B27" i="3"/>
  <c r="C27" i="3"/>
  <c r="D27" i="3"/>
  <c r="E27" i="3"/>
  <c r="F27" i="3"/>
  <c r="B28" i="3"/>
  <c r="C28" i="3"/>
  <c r="D28" i="3"/>
  <c r="E28" i="3"/>
  <c r="F28" i="3"/>
  <c r="B29" i="3"/>
  <c r="C29" i="3"/>
  <c r="D29" i="3"/>
  <c r="E29" i="3"/>
  <c r="F29" i="3"/>
  <c r="B30" i="3"/>
  <c r="C30" i="3"/>
  <c r="D30" i="3"/>
  <c r="E30" i="3"/>
  <c r="F30" i="3"/>
  <c r="B31" i="3"/>
  <c r="C31" i="3"/>
  <c r="D31" i="3"/>
  <c r="E31" i="3"/>
  <c r="F31" i="3"/>
  <c r="B32" i="3"/>
  <c r="C32" i="3"/>
  <c r="D32" i="3"/>
  <c r="E32" i="3"/>
  <c r="F32" i="3"/>
  <c r="B33" i="3"/>
  <c r="C33" i="3"/>
  <c r="D33" i="3"/>
  <c r="E33" i="3"/>
  <c r="F33" i="3"/>
  <c r="B34" i="3"/>
  <c r="C34" i="3"/>
  <c r="D34" i="3"/>
  <c r="E34" i="3"/>
  <c r="F34" i="3"/>
  <c r="B35" i="3"/>
  <c r="C35" i="3"/>
  <c r="D35" i="3"/>
  <c r="E35" i="3"/>
  <c r="F35" i="3"/>
  <c r="B36" i="3"/>
  <c r="C36" i="3"/>
  <c r="D36" i="3"/>
  <c r="E36" i="3"/>
  <c r="F36" i="3"/>
  <c r="B37" i="3"/>
  <c r="C37" i="3"/>
  <c r="D37" i="3"/>
  <c r="E37" i="3"/>
  <c r="F37" i="3"/>
  <c r="B38" i="3"/>
  <c r="C38" i="3"/>
  <c r="D38" i="3"/>
  <c r="E38" i="3"/>
  <c r="F38" i="3"/>
  <c r="B39" i="3"/>
  <c r="C39" i="3"/>
  <c r="D39" i="3"/>
  <c r="E39" i="3"/>
  <c r="F39" i="3"/>
  <c r="B40" i="3"/>
  <c r="C40" i="3"/>
  <c r="D40" i="3"/>
  <c r="E40" i="3"/>
  <c r="F40" i="3"/>
  <c r="B41" i="3"/>
  <c r="C41" i="3"/>
  <c r="D41" i="3"/>
  <c r="E41" i="3"/>
  <c r="F41" i="3"/>
  <c r="B42" i="3"/>
  <c r="C42" i="3"/>
  <c r="D42" i="3"/>
  <c r="E42" i="3"/>
  <c r="F42" i="3"/>
  <c r="B43" i="3"/>
  <c r="C43" i="3"/>
  <c r="D43" i="3"/>
  <c r="E43" i="3"/>
  <c r="F43" i="3"/>
  <c r="B44" i="3"/>
  <c r="C44" i="3"/>
  <c r="D44" i="3"/>
  <c r="E44" i="3"/>
  <c r="F44" i="3"/>
  <c r="B45" i="3"/>
  <c r="C45" i="3"/>
  <c r="D45" i="3"/>
  <c r="E45" i="3"/>
  <c r="F45" i="3"/>
  <c r="B46" i="3"/>
  <c r="C46" i="3"/>
  <c r="D46" i="3"/>
  <c r="E46" i="3"/>
  <c r="F46" i="3"/>
  <c r="B47" i="3"/>
  <c r="C47" i="3"/>
  <c r="D47" i="3"/>
  <c r="E47" i="3"/>
  <c r="F47" i="3"/>
  <c r="B48" i="3"/>
  <c r="C48" i="3"/>
  <c r="D48" i="3"/>
  <c r="E48" i="3"/>
  <c r="F48" i="3"/>
  <c r="B49" i="3"/>
  <c r="C49" i="3"/>
  <c r="D49" i="3"/>
  <c r="E49" i="3"/>
  <c r="F49" i="3"/>
  <c r="B50" i="3"/>
  <c r="C50" i="3"/>
  <c r="D50" i="3"/>
  <c r="E50" i="3"/>
  <c r="F50" i="3"/>
  <c r="B51" i="3"/>
  <c r="C51" i="3"/>
  <c r="D51" i="3"/>
  <c r="E51" i="3"/>
  <c r="F51" i="3"/>
  <c r="B52" i="3"/>
  <c r="C52" i="3"/>
  <c r="D52" i="3"/>
  <c r="E52" i="3"/>
  <c r="F52" i="3"/>
  <c r="B53" i="3"/>
  <c r="C53" i="3"/>
  <c r="D53" i="3"/>
  <c r="E53" i="3"/>
  <c r="F53" i="3"/>
  <c r="B54" i="3"/>
  <c r="C54" i="3"/>
  <c r="D54" i="3"/>
  <c r="E54" i="3"/>
  <c r="F54" i="3"/>
  <c r="B55" i="3"/>
  <c r="C55" i="3"/>
  <c r="D55" i="3"/>
  <c r="E55" i="3"/>
  <c r="F55" i="3"/>
  <c r="B56" i="3"/>
  <c r="C56" i="3"/>
  <c r="D56" i="3"/>
  <c r="E56" i="3"/>
  <c r="F56" i="3"/>
  <c r="B57" i="3"/>
  <c r="C57" i="3"/>
  <c r="D57" i="3"/>
  <c r="E57" i="3"/>
  <c r="F57" i="3"/>
  <c r="B58" i="3"/>
  <c r="C58" i="3"/>
  <c r="D58" i="3"/>
  <c r="E58" i="3"/>
  <c r="F58" i="3"/>
  <c r="B59" i="3"/>
  <c r="C59" i="3"/>
  <c r="D59" i="3"/>
  <c r="E59" i="3"/>
  <c r="F59" i="3"/>
  <c r="B60" i="3"/>
  <c r="C60" i="3"/>
  <c r="D60" i="3"/>
  <c r="E60" i="3"/>
  <c r="F60" i="3"/>
  <c r="B61" i="3"/>
  <c r="C61" i="3"/>
  <c r="D61" i="3"/>
  <c r="E61" i="3"/>
  <c r="F61" i="3"/>
  <c r="B62" i="3"/>
  <c r="C62" i="3"/>
  <c r="D62" i="3"/>
  <c r="E62" i="3"/>
  <c r="F62" i="3"/>
  <c r="B63" i="3"/>
  <c r="C63" i="3"/>
  <c r="D63" i="3"/>
  <c r="E63" i="3"/>
  <c r="F63" i="3"/>
  <c r="B64" i="3"/>
  <c r="C64" i="3"/>
  <c r="D64" i="3"/>
  <c r="E64" i="3"/>
  <c r="F64" i="3"/>
  <c r="B65" i="3"/>
  <c r="C65" i="3"/>
  <c r="D65" i="3"/>
  <c r="E65" i="3"/>
  <c r="F65" i="3"/>
  <c r="B66" i="3"/>
  <c r="C66" i="3"/>
  <c r="D66" i="3"/>
  <c r="E66" i="3"/>
  <c r="F66" i="3"/>
  <c r="B67" i="3"/>
  <c r="C67" i="3"/>
  <c r="D67" i="3"/>
  <c r="E67" i="3"/>
  <c r="F67" i="3"/>
  <c r="B68" i="3"/>
  <c r="C68" i="3"/>
  <c r="D68" i="3"/>
  <c r="E68" i="3"/>
  <c r="F68" i="3"/>
  <c r="B69" i="3"/>
  <c r="C69" i="3"/>
  <c r="D69" i="3"/>
  <c r="E69" i="3"/>
  <c r="F69" i="3"/>
  <c r="B70" i="3"/>
  <c r="C70" i="3"/>
  <c r="D70" i="3"/>
  <c r="E70" i="3"/>
  <c r="F70" i="3"/>
  <c r="B71" i="3"/>
  <c r="C71" i="3"/>
  <c r="D71" i="3"/>
  <c r="E71" i="3"/>
  <c r="F71" i="3"/>
  <c r="B72" i="3"/>
  <c r="C72" i="3"/>
  <c r="D72" i="3"/>
  <c r="E72" i="3"/>
  <c r="F72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B78" i="3"/>
  <c r="C78" i="3"/>
  <c r="D78" i="3"/>
  <c r="E78" i="3"/>
  <c r="F78" i="3"/>
  <c r="B79" i="3"/>
  <c r="C79" i="3"/>
  <c r="D79" i="3"/>
  <c r="E79" i="3"/>
  <c r="F79" i="3"/>
  <c r="B80" i="3"/>
  <c r="C80" i="3"/>
  <c r="D80" i="3"/>
  <c r="E80" i="3"/>
  <c r="F80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B94" i="3"/>
  <c r="C94" i="3"/>
  <c r="D94" i="3"/>
  <c r="E94" i="3"/>
  <c r="F94" i="3"/>
  <c r="B95" i="3"/>
  <c r="C95" i="3"/>
  <c r="D95" i="3"/>
  <c r="E95" i="3"/>
  <c r="F95" i="3"/>
  <c r="B96" i="3"/>
  <c r="C96" i="3"/>
  <c r="D96" i="3"/>
  <c r="E96" i="3"/>
  <c r="F96" i="3"/>
  <c r="B97" i="3"/>
  <c r="C97" i="3"/>
  <c r="D97" i="3"/>
  <c r="E97" i="3"/>
  <c r="F97" i="3"/>
  <c r="B98" i="3"/>
  <c r="C98" i="3"/>
  <c r="D98" i="3"/>
  <c r="E98" i="3"/>
  <c r="F98" i="3"/>
  <c r="B99" i="3"/>
  <c r="C99" i="3"/>
  <c r="D99" i="3"/>
  <c r="E99" i="3"/>
  <c r="F99" i="3"/>
  <c r="B100" i="3"/>
  <c r="C100" i="3"/>
  <c r="D100" i="3"/>
  <c r="E100" i="3"/>
  <c r="F100" i="3"/>
  <c r="B101" i="3"/>
  <c r="C101" i="3"/>
  <c r="D101" i="3"/>
  <c r="E101" i="3"/>
  <c r="F101" i="3"/>
  <c r="B102" i="3"/>
  <c r="C102" i="3"/>
  <c r="D102" i="3"/>
  <c r="E102" i="3"/>
  <c r="F102" i="3"/>
  <c r="B103" i="3"/>
  <c r="C103" i="3"/>
  <c r="D103" i="3"/>
  <c r="E103" i="3"/>
  <c r="F103" i="3"/>
  <c r="B104" i="3"/>
  <c r="C104" i="3"/>
  <c r="D104" i="3"/>
  <c r="E104" i="3"/>
  <c r="F104" i="3"/>
  <c r="B105" i="3"/>
  <c r="C105" i="3"/>
  <c r="D105" i="3"/>
  <c r="E105" i="3"/>
  <c r="F105" i="3"/>
  <c r="B106" i="3"/>
  <c r="C106" i="3"/>
  <c r="D106" i="3"/>
  <c r="E106" i="3"/>
  <c r="F106" i="3"/>
  <c r="B107" i="3"/>
  <c r="C107" i="3"/>
  <c r="D107" i="3"/>
  <c r="E107" i="3"/>
  <c r="F107" i="3"/>
  <c r="B108" i="3"/>
  <c r="C108" i="3"/>
  <c r="D108" i="3"/>
  <c r="E108" i="3"/>
  <c r="F108" i="3"/>
  <c r="B109" i="3"/>
  <c r="C109" i="3"/>
  <c r="D109" i="3"/>
  <c r="E109" i="3"/>
  <c r="F109" i="3"/>
  <c r="B110" i="3"/>
  <c r="C110" i="3"/>
  <c r="D110" i="3"/>
  <c r="E110" i="3"/>
  <c r="F110" i="3"/>
  <c r="B111" i="3"/>
  <c r="C111" i="3"/>
  <c r="D111" i="3"/>
  <c r="E111" i="3"/>
  <c r="F111" i="3"/>
  <c r="B112" i="3"/>
  <c r="C112" i="3"/>
  <c r="D112" i="3"/>
  <c r="E112" i="3"/>
  <c r="F112" i="3"/>
  <c r="B113" i="3"/>
  <c r="C113" i="3"/>
  <c r="D113" i="3"/>
  <c r="E113" i="3"/>
  <c r="F113" i="3"/>
  <c r="B114" i="3"/>
  <c r="C114" i="3"/>
  <c r="D114" i="3"/>
  <c r="E114" i="3"/>
  <c r="F114" i="3"/>
  <c r="F2" i="3"/>
  <c r="E2" i="3"/>
  <c r="D2" i="3"/>
  <c r="C2" i="3"/>
  <c r="B2" i="3"/>
  <c r="N3" i="8" l="1"/>
  <c r="N4" i="8" s="1"/>
  <c r="N19" i="8" l="1"/>
  <c r="R6" i="9"/>
  <c r="S6" i="9"/>
  <c r="R3" i="9" l="1"/>
  <c r="S3" i="9"/>
  <c r="S7" i="9"/>
  <c r="S4" i="9"/>
  <c r="E16" i="9"/>
  <c r="E14" i="9"/>
  <c r="E15" i="9"/>
  <c r="E13" i="9"/>
  <c r="E18" i="9" s="1"/>
  <c r="R4" i="9"/>
  <c r="R5" i="9"/>
  <c r="F15" i="9"/>
  <c r="F16" i="9"/>
  <c r="F14" i="9"/>
  <c r="F13" i="9"/>
  <c r="F18" i="9" s="1"/>
  <c r="S5" i="9"/>
  <c r="R7" i="9"/>
</calcChain>
</file>

<file path=xl/sharedStrings.xml><?xml version="1.0" encoding="utf-8"?>
<sst xmlns="http://schemas.openxmlformats.org/spreadsheetml/2006/main" count="4087" uniqueCount="489">
  <si>
    <t>Year</t>
  </si>
  <si>
    <t>Area</t>
  </si>
  <si>
    <t>Fishery</t>
  </si>
  <si>
    <t>Species</t>
  </si>
  <si>
    <t>ForestFish_conservative_percent_CNF_Johnson et al 2019</t>
  </si>
  <si>
    <t>ForestFish_Liberal_100percentif CNF overlap&gt;0</t>
  </si>
  <si>
    <t>ID</t>
  </si>
  <si>
    <t>PWS_Area J Saltwater</t>
  </si>
  <si>
    <t>Sport</t>
  </si>
  <si>
    <t>Chinook</t>
  </si>
  <si>
    <t>Chinook_Sport_2011</t>
  </si>
  <si>
    <t>Chinook_Sport_2012</t>
  </si>
  <si>
    <t>Chinook_Sport_2013</t>
  </si>
  <si>
    <t>Chinook_Sport_2014</t>
  </si>
  <si>
    <t>Chinook_Sport_2015</t>
  </si>
  <si>
    <t>Chinook_Sport_2016</t>
  </si>
  <si>
    <t>Chinook_Sport_2017</t>
  </si>
  <si>
    <t>Chinook_Sport_2018</t>
  </si>
  <si>
    <t>Chinook_Sport_2019</t>
  </si>
  <si>
    <t>Chinook_Sport_2020</t>
  </si>
  <si>
    <t>Sockeye</t>
  </si>
  <si>
    <t>Sockeye_Sport_2011</t>
  </si>
  <si>
    <t>Sockeye_Sport_2012</t>
  </si>
  <si>
    <t>Sockeye_Sport_2013</t>
  </si>
  <si>
    <t>Sockeye_Sport_2014</t>
  </si>
  <si>
    <t>Sockeye_Sport_2015</t>
  </si>
  <si>
    <t>Sockeye_Sport_2016</t>
  </si>
  <si>
    <t>Sockeye_Sport_2017</t>
  </si>
  <si>
    <t>Sockeye_Sport_2018</t>
  </si>
  <si>
    <t>Sockeye_Sport_2019</t>
  </si>
  <si>
    <t>Sockeye_Sport_2020</t>
  </si>
  <si>
    <t>Coho</t>
  </si>
  <si>
    <t>Coho_Sport_2011</t>
  </si>
  <si>
    <t>Coho_Sport_2012</t>
  </si>
  <si>
    <t>Coho_Sport_2013</t>
  </si>
  <si>
    <t>Coho_Sport_2014</t>
  </si>
  <si>
    <t>Coho_Sport_2015</t>
  </si>
  <si>
    <t>Coho_Sport_2016</t>
  </si>
  <si>
    <t>Coho_Sport_2017</t>
  </si>
  <si>
    <t>Coho_Sport_2018</t>
  </si>
  <si>
    <t>Coho_Sport_2019</t>
  </si>
  <si>
    <t>Coho_Sport_2020</t>
  </si>
  <si>
    <t>Pink</t>
  </si>
  <si>
    <t>Pink_Sport_2011</t>
  </si>
  <si>
    <t>Pink_Sport_2012</t>
  </si>
  <si>
    <t>Pink_Sport_2013</t>
  </si>
  <si>
    <t>Pink_Sport_2014</t>
  </si>
  <si>
    <t>Pink_Sport_2015</t>
  </si>
  <si>
    <t>Pink_Sport_2016</t>
  </si>
  <si>
    <t>Pink_Sport_2017</t>
  </si>
  <si>
    <t>Pink_Sport_2018</t>
  </si>
  <si>
    <t>Pink_Sport_2019</t>
  </si>
  <si>
    <t>Pink_Sport_2020</t>
  </si>
  <si>
    <t>Chum</t>
  </si>
  <si>
    <t>Chum_Sport_2011</t>
  </si>
  <si>
    <t>Chum_Sport_2012</t>
  </si>
  <si>
    <t>Chum_Sport_2013</t>
  </si>
  <si>
    <t>Chum_Sport_2014</t>
  </si>
  <si>
    <t>Chum_Sport_2015</t>
  </si>
  <si>
    <t>Chum_Sport_2016</t>
  </si>
  <si>
    <t>Chum_Sport_2017</t>
  </si>
  <si>
    <t>Chum_Sport_2018</t>
  </si>
  <si>
    <t>Chum_Sport_2019</t>
  </si>
  <si>
    <t>Chum_Sport_2020</t>
  </si>
  <si>
    <t>PWS_Area J Freshwater</t>
  </si>
  <si>
    <t>Turnagain_Area L</t>
  </si>
  <si>
    <t>Kenai_Area PF</t>
  </si>
  <si>
    <t>UCR_PWS_Kenai</t>
  </si>
  <si>
    <t>Subsistence</t>
  </si>
  <si>
    <t>Sockeye_Subsistence_2011</t>
  </si>
  <si>
    <t>Sockeye_Subsistence_2012</t>
  </si>
  <si>
    <t>Sockeye_Subsistence_2013</t>
  </si>
  <si>
    <t>Sockeye_Subsistence_2014</t>
  </si>
  <si>
    <t>Sockeye_Subsistence_2015</t>
  </si>
  <si>
    <t>Sockeye_Subsistence_2016</t>
  </si>
  <si>
    <t>Sockeye_Subsistence_2017</t>
  </si>
  <si>
    <t>Sockeye_Subsistence_2018</t>
  </si>
  <si>
    <t>Sockeye_Subsistence_2019</t>
  </si>
  <si>
    <t>Sockeye_Subsistence_2020</t>
  </si>
  <si>
    <t>Coho_Subsistence_2011</t>
  </si>
  <si>
    <t>Coho_Subsistence_2012</t>
  </si>
  <si>
    <t>Coho_Subsistence_2013</t>
  </si>
  <si>
    <t>Coho_Subsistence_2014</t>
  </si>
  <si>
    <t>Coho_Subsistence_2015</t>
  </si>
  <si>
    <t>Coho_Subsistence_2016</t>
  </si>
  <si>
    <t>Coho_Subsistence_2017</t>
  </si>
  <si>
    <t>Coho_Subsistence_2018</t>
  </si>
  <si>
    <t>Coho_Subsistence_2019</t>
  </si>
  <si>
    <t>Coho_Subsistence_2020</t>
  </si>
  <si>
    <t>Pink_Subsistence_2011</t>
  </si>
  <si>
    <t>Pink_Subsistence_2012</t>
  </si>
  <si>
    <t>Pink_Subsistence_2013</t>
  </si>
  <si>
    <t>Pink_Subsistence_2014</t>
  </si>
  <si>
    <t>Pink_Subsistence_2015</t>
  </si>
  <si>
    <t>Pink_Subsistence_2016</t>
  </si>
  <si>
    <t>Pink_Subsistence_2017</t>
  </si>
  <si>
    <t>Pink_Subsistence_2018</t>
  </si>
  <si>
    <t>Pink_Subsistence_2019</t>
  </si>
  <si>
    <t>Pink_Subsistence_2020</t>
  </si>
  <si>
    <t>Chum_Subsistence_2011</t>
  </si>
  <si>
    <t>Chum_Subsistence_2012</t>
  </si>
  <si>
    <t>Chum_Subsistence_2013</t>
  </si>
  <si>
    <t>Chum_Subsistence_2014</t>
  </si>
  <si>
    <t>Chum_Subsistence_2015</t>
  </si>
  <si>
    <t>Chum_Subsistence_2016</t>
  </si>
  <si>
    <t>Chum_Subsistence_2017</t>
  </si>
  <si>
    <t>Chum_Subsistence_2018</t>
  </si>
  <si>
    <t>Chum_Subsistence_2019</t>
  </si>
  <si>
    <t>Chum_Subsistence_2020</t>
  </si>
  <si>
    <t>Chinook_Subsistence_2011</t>
  </si>
  <si>
    <t>Chinook_Subsistence_2012</t>
  </si>
  <si>
    <t>Chinook_Subsistence_2013</t>
  </si>
  <si>
    <t>Chinook_Subsistence_2014</t>
  </si>
  <si>
    <t>Chinook_Subsistence_2015</t>
  </si>
  <si>
    <t>Chinook_Subsistence_2016</t>
  </si>
  <si>
    <t>Chinook_Subsistence_2017</t>
  </si>
  <si>
    <t>Chinook_Subsistence_2018</t>
  </si>
  <si>
    <t>Chinook_Subsistence_2019</t>
  </si>
  <si>
    <t>Chinook_Subsistence_2020</t>
  </si>
  <si>
    <t>Personal use</t>
  </si>
  <si>
    <t>Sockeye_Personal use_2011</t>
  </si>
  <si>
    <t>Sockeye_Personal use_2012</t>
  </si>
  <si>
    <t>Sockeye_Personal use_2013</t>
  </si>
  <si>
    <t>Sockeye_Personal use_2014</t>
  </si>
  <si>
    <t>Sockeye_Personal use_2015</t>
  </si>
  <si>
    <t>Sockeye_Personal use_2016</t>
  </si>
  <si>
    <t>Sockeye_Personal use_2017</t>
  </si>
  <si>
    <t>Sockeye_Personal use_2018</t>
  </si>
  <si>
    <t>Sockeye_Personal use_2019</t>
  </si>
  <si>
    <t>Sockeye_Personal use_2020</t>
  </si>
  <si>
    <t>Coho_Personal use_2011</t>
  </si>
  <si>
    <t>Coho_Personal use_2012</t>
  </si>
  <si>
    <t>Coho_Personal use_2013</t>
  </si>
  <si>
    <t>Coho_Personal use_2014</t>
  </si>
  <si>
    <t>Coho_Personal use_2015</t>
  </si>
  <si>
    <t>Coho_Personal use_2016</t>
  </si>
  <si>
    <t>Coho_Personal use_2017</t>
  </si>
  <si>
    <t>Coho_Personal use_2018</t>
  </si>
  <si>
    <t>Coho_Personal use_2019</t>
  </si>
  <si>
    <t>Coho_Personal use_2020</t>
  </si>
  <si>
    <t>Pink_Personal use_2011</t>
  </si>
  <si>
    <t>Pink_Personal use_2012</t>
  </si>
  <si>
    <t>Pink_Personal use_2013</t>
  </si>
  <si>
    <t>Pink_Personal use_2014</t>
  </si>
  <si>
    <t>Pink_Personal use_2015</t>
  </si>
  <si>
    <t>Pink_Personal use_2016</t>
  </si>
  <si>
    <t>Pink_Personal use_2017</t>
  </si>
  <si>
    <t>Pink_Personal use_2018</t>
  </si>
  <si>
    <t>Pink_Personal use_2019</t>
  </si>
  <si>
    <t>Pink_Personal use_2020</t>
  </si>
  <si>
    <t>Chum_Personal use_2011</t>
  </si>
  <si>
    <t>Chum_Personal use_2012</t>
  </si>
  <si>
    <t>Chum_Personal use_2013</t>
  </si>
  <si>
    <t>Chum_Personal use_2014</t>
  </si>
  <si>
    <t>Chum_Personal use_2015</t>
  </si>
  <si>
    <t>Chum_Personal use_2016</t>
  </si>
  <si>
    <t>Chum_Personal use_2017</t>
  </si>
  <si>
    <t>Chum_Personal use_2018</t>
  </si>
  <si>
    <t>Chum_Personal use_2019</t>
  </si>
  <si>
    <t>Chum_Personal use_2020</t>
  </si>
  <si>
    <t>Chinook_Personal use_2011</t>
  </si>
  <si>
    <t>Chinook_Personal use_2012</t>
  </si>
  <si>
    <t>Chinook_Personal use_2013</t>
  </si>
  <si>
    <t>Chinook_Personal use_2014</t>
  </si>
  <si>
    <t>Chinook_Personal use_2015</t>
  </si>
  <si>
    <t>Chinook_Personal use_2016</t>
  </si>
  <si>
    <t>Chinook_Personal use_2017</t>
  </si>
  <si>
    <t>Chinook_Personal use_2018</t>
  </si>
  <si>
    <t>Chinook_Personal use_2019</t>
  </si>
  <si>
    <t>Chinook_Personal use_2020</t>
  </si>
  <si>
    <t>Line</t>
  </si>
  <si>
    <t>Harvest_total</t>
  </si>
  <si>
    <t>Proportion_hatchery</t>
  </si>
  <si>
    <t>Outside_fish_harvest_conservative</t>
  </si>
  <si>
    <t>Outside_fish_harvest_liberal</t>
  </si>
  <si>
    <t>Forest</t>
  </si>
  <si>
    <t>Forest_fish_conservative</t>
  </si>
  <si>
    <t>Forest_fish_liberal</t>
  </si>
  <si>
    <t>Chinook_2011_PU</t>
  </si>
  <si>
    <t>Chinook_2012_PU</t>
  </si>
  <si>
    <t>Chinook_2013_PU</t>
  </si>
  <si>
    <t>Chinook_2014_PU</t>
  </si>
  <si>
    <t>Chinook_2015_PU</t>
  </si>
  <si>
    <t>Chinook_2016_PU</t>
  </si>
  <si>
    <t>Chinook_2017_PU</t>
  </si>
  <si>
    <t>Chinook_2018_PU</t>
  </si>
  <si>
    <t>Chinook_2019_PU</t>
  </si>
  <si>
    <t>Chinook_2020_PU</t>
  </si>
  <si>
    <t>Chinook_2011_sport</t>
  </si>
  <si>
    <t>Chinook_2012_sport</t>
  </si>
  <si>
    <t>Chinook_2013_sport</t>
  </si>
  <si>
    <t>Chinook_2014_sport</t>
  </si>
  <si>
    <t>Chinook_2015_sport</t>
  </si>
  <si>
    <t>Chinook_2016_sport</t>
  </si>
  <si>
    <t>Chinook_2017_sport</t>
  </si>
  <si>
    <t>Chinook_2018_sport</t>
  </si>
  <si>
    <t>Chinook_2019_sport</t>
  </si>
  <si>
    <t>Chinook_2020_sport</t>
  </si>
  <si>
    <t>Chinook_2011_subsistence</t>
  </si>
  <si>
    <t>Chinook_2012_subsistence</t>
  </si>
  <si>
    <t>Chinook_2013_subsistence</t>
  </si>
  <si>
    <t>Chinook_2014_subsistence</t>
  </si>
  <si>
    <t>Chinook_2015_subsistence</t>
  </si>
  <si>
    <t>Chinook_2016_subsistence</t>
  </si>
  <si>
    <t>Chinook_2017_subsistence</t>
  </si>
  <si>
    <t>Chinook_2018_subsistence</t>
  </si>
  <si>
    <t>Chinook_2019_subsistence</t>
  </si>
  <si>
    <t>Chinook_2020_subsistence</t>
  </si>
  <si>
    <t>Chum_2011_PU</t>
  </si>
  <si>
    <t>Chum_2012_PU</t>
  </si>
  <si>
    <t>Chum_2013_PU</t>
  </si>
  <si>
    <t>Chum_2014_PU</t>
  </si>
  <si>
    <t>Chum_2015_PU</t>
  </si>
  <si>
    <t>Chum_2016_PU</t>
  </si>
  <si>
    <t>Chum_2017_PU</t>
  </si>
  <si>
    <t>Chum_2018_PU</t>
  </si>
  <si>
    <t>Chum_2019_PU</t>
  </si>
  <si>
    <t>Chum_2020_PU</t>
  </si>
  <si>
    <t>Chum_2011_sport</t>
  </si>
  <si>
    <t>Chum_2012_sport</t>
  </si>
  <si>
    <t>Chum_2013_sport</t>
  </si>
  <si>
    <t>Chum_2014_sport</t>
  </si>
  <si>
    <t>Chum_2015_sport</t>
  </si>
  <si>
    <t>Chum_2016_sport</t>
  </si>
  <si>
    <t>Chum_2017_sport</t>
  </si>
  <si>
    <t>Chum_2018_sport</t>
  </si>
  <si>
    <t>Chum_2019_sport</t>
  </si>
  <si>
    <t>Chum_2020_sport</t>
  </si>
  <si>
    <t>Chum_2011_subsistence</t>
  </si>
  <si>
    <t>Chum_2012_subsistence</t>
  </si>
  <si>
    <t>Chum_2013_subsistence</t>
  </si>
  <si>
    <t>Chum_2014_subsistence</t>
  </si>
  <si>
    <t>Chum_2015_subsistence</t>
  </si>
  <si>
    <t>Chum_2016_subsistence</t>
  </si>
  <si>
    <t>Chum_2017_subsistence</t>
  </si>
  <si>
    <t>Chum_2018_subsistence</t>
  </si>
  <si>
    <t>Chum_2019_subsistence</t>
  </si>
  <si>
    <t>Chum_2020_subsistence</t>
  </si>
  <si>
    <t>Coho_2011_PU</t>
  </si>
  <si>
    <t>Coho_2012_PU</t>
  </si>
  <si>
    <t>Coho_2013_PU</t>
  </si>
  <si>
    <t>Coho_2014_PU</t>
  </si>
  <si>
    <t>Coho_2015_PU</t>
  </si>
  <si>
    <t>Coho_2016_PU</t>
  </si>
  <si>
    <t>Coho_2017_PU</t>
  </si>
  <si>
    <t>Coho_2018_PU</t>
  </si>
  <si>
    <t>Coho_2019_PU</t>
  </si>
  <si>
    <t>Coho_2020_PU</t>
  </si>
  <si>
    <t>Coho_2011_sport</t>
  </si>
  <si>
    <t>Coho_2012_sport</t>
  </si>
  <si>
    <t>Coho_2013_sport</t>
  </si>
  <si>
    <t>Coho_2014_sport</t>
  </si>
  <si>
    <t>Coho_2015_sport</t>
  </si>
  <si>
    <t>Coho_2016_sport</t>
  </si>
  <si>
    <t>Coho_2017_sport</t>
  </si>
  <si>
    <t>Coho_2018_sport</t>
  </si>
  <si>
    <t>Coho_2019_sport</t>
  </si>
  <si>
    <t>Coho_2020_sport</t>
  </si>
  <si>
    <t>Coho_2011_subsistence</t>
  </si>
  <si>
    <t>Coho_2012_subsistence</t>
  </si>
  <si>
    <t>Coho_2013_subsistence</t>
  </si>
  <si>
    <t>Coho_2014_subsistence</t>
  </si>
  <si>
    <t>Coho_2015_subsistence</t>
  </si>
  <si>
    <t>Coho_2016_subsistence</t>
  </si>
  <si>
    <t>Coho_2017_subsistence</t>
  </si>
  <si>
    <t>Coho_2018_subsistence</t>
  </si>
  <si>
    <t>Coho_2019_subsistence</t>
  </si>
  <si>
    <t>Coho_2020_subsistence</t>
  </si>
  <si>
    <t>Pink_2011_PU</t>
  </si>
  <si>
    <t>Pink_2012_PU</t>
  </si>
  <si>
    <t>Pink_2013_PU</t>
  </si>
  <si>
    <t>Pink_2014_PU</t>
  </si>
  <si>
    <t>Pink_2015_PU</t>
  </si>
  <si>
    <t>Pink_2016_PU</t>
  </si>
  <si>
    <t>Pink_2017_PU</t>
  </si>
  <si>
    <t>Pink_2018_PU</t>
  </si>
  <si>
    <t>Pink_2019_PU</t>
  </si>
  <si>
    <t>Pink_2020_PU</t>
  </si>
  <si>
    <t>Pink_2011_sport</t>
  </si>
  <si>
    <t>Pink_2012_sport</t>
  </si>
  <si>
    <t>Pink_2013_sport</t>
  </si>
  <si>
    <t>Pink_2014_sport</t>
  </si>
  <si>
    <t>Pink_2015_sport</t>
  </si>
  <si>
    <t>Pink_2016_sport</t>
  </si>
  <si>
    <t>Pink_2017_sport</t>
  </si>
  <si>
    <t>Pink_2018_sport</t>
  </si>
  <si>
    <t>Pink_2019_sport</t>
  </si>
  <si>
    <t>Pink_2020_sport</t>
  </si>
  <si>
    <t>Pink_2011_subsistence</t>
  </si>
  <si>
    <t>Pink_2012_subsistence</t>
  </si>
  <si>
    <t>Pink_2013_subsistence</t>
  </si>
  <si>
    <t>Pink_2014_subsistence</t>
  </si>
  <si>
    <t>Pink_2015_subsistence</t>
  </si>
  <si>
    <t>Pink_2016_subsistence</t>
  </si>
  <si>
    <t>Pink_2017_subsistence</t>
  </si>
  <si>
    <t>Pink_2018_subsistence</t>
  </si>
  <si>
    <t>Pink_2019_subsistence</t>
  </si>
  <si>
    <t>Pink_2020_subsistence</t>
  </si>
  <si>
    <t>Sockeye_2011_PU</t>
  </si>
  <si>
    <t>Sockeye_2012_PU</t>
  </si>
  <si>
    <t>Sockeye_2013_PU</t>
  </si>
  <si>
    <t>Sockeye_2014_PU</t>
  </si>
  <si>
    <t>Sockeye_2015_PU</t>
  </si>
  <si>
    <t>Sockeye_2016_PU</t>
  </si>
  <si>
    <t>Sockeye_2017_PU</t>
  </si>
  <si>
    <t>Sockeye_2018_PU</t>
  </si>
  <si>
    <t>Sockeye_2019_PU</t>
  </si>
  <si>
    <t>Sockeye_2020_PU</t>
  </si>
  <si>
    <t>Sockeye_2011_sport</t>
  </si>
  <si>
    <t>Sockeye_2012_sport</t>
  </si>
  <si>
    <t>Sockeye_2013_sport</t>
  </si>
  <si>
    <t>Sockeye_2014_sport</t>
  </si>
  <si>
    <t>Sockeye_2015_sport</t>
  </si>
  <si>
    <t>Sockeye_2016_sport</t>
  </si>
  <si>
    <t>Sockeye_2017_sport</t>
  </si>
  <si>
    <t>Sockeye_2018_sport</t>
  </si>
  <si>
    <t>Sockeye_2019_sport</t>
  </si>
  <si>
    <t>Sockeye_2020_sport</t>
  </si>
  <si>
    <t>Sockeye_2011_subsistence</t>
  </si>
  <si>
    <t>Sockeye_2012_subsistence</t>
  </si>
  <si>
    <t>Sockeye_2013_subsistence</t>
  </si>
  <si>
    <t>Sockeye_2014_subsistence</t>
  </si>
  <si>
    <t>Sockeye_2015_subsistence</t>
  </si>
  <si>
    <t>Sockeye_2016_subsistence</t>
  </si>
  <si>
    <t>Sockeye_2017_subsistence</t>
  </si>
  <si>
    <t>Sockeye_2018_subsistence</t>
  </si>
  <si>
    <t>Sockeye_2019_subsistence</t>
  </si>
  <si>
    <t>Sockeye_2020_subsistence</t>
  </si>
  <si>
    <t>Conservative</t>
  </si>
  <si>
    <t>Liberal</t>
  </si>
  <si>
    <t>Chugach</t>
  </si>
  <si>
    <t>Tongass</t>
  </si>
  <si>
    <t>(blank)</t>
  </si>
  <si>
    <t>Sum of Conservative</t>
  </si>
  <si>
    <t>Sum of Liberal</t>
  </si>
  <si>
    <t>Values</t>
  </si>
  <si>
    <t>(Multiple Items)</t>
  </si>
  <si>
    <t>Species Name</t>
  </si>
  <si>
    <t>Sum of Number Of Fish (estimated)</t>
  </si>
  <si>
    <t>Sum of Whole Weight (lbs)</t>
  </si>
  <si>
    <t>Chinook Salmon</t>
  </si>
  <si>
    <t>2011</t>
  </si>
  <si>
    <t>Chum Salmon</t>
  </si>
  <si>
    <t>Coho Salmon</t>
  </si>
  <si>
    <t>Pink Salmon</t>
  </si>
  <si>
    <t>Sockeye Salmon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</si>
  <si>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</si>
  <si>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</si>
  <si>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</si>
  <si>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</si>
  <si>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</si>
  <si>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</si>
  <si>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</si>
  <si>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</si>
  <si>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</si>
  <si>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Proportion Forest</t>
  </si>
  <si>
    <t># Forest Fish</t>
  </si>
  <si>
    <t>Row Labels</t>
  </si>
  <si>
    <t>Grand Total</t>
  </si>
  <si>
    <t>Sum of # Forest Fish</t>
  </si>
  <si>
    <t>Commercial</t>
  </si>
  <si>
    <t>Personal Use</t>
  </si>
  <si>
    <t>Total Liberal</t>
  </si>
  <si>
    <t>% Cons</t>
  </si>
  <si>
    <t>% Lib</t>
  </si>
  <si>
    <t>Average</t>
  </si>
  <si>
    <t>% by species</t>
  </si>
  <si>
    <t>Median</t>
  </si>
  <si>
    <t>Min</t>
  </si>
  <si>
    <t>Max</t>
  </si>
  <si>
    <t>% forest fish</t>
  </si>
  <si>
    <t>Total catch</t>
  </si>
  <si>
    <t>Forest catch</t>
  </si>
  <si>
    <t>% forest</t>
  </si>
  <si>
    <t>% by forest</t>
  </si>
  <si>
    <t>Total State Catch</t>
  </si>
  <si>
    <t>% Forest</t>
  </si>
  <si>
    <t>Number of Fish</t>
  </si>
  <si>
    <t>Total State Salmon Catch</t>
  </si>
  <si>
    <t>Number of Fish Per Year</t>
  </si>
  <si>
    <t>Number and % by species</t>
  </si>
  <si>
    <t>Number and % by Forest</t>
  </si>
  <si>
    <t>Number Of Fish (estimated)</t>
  </si>
  <si>
    <t>Whole Weight (lbs)</t>
  </si>
  <si>
    <t>Cook Inlet</t>
  </si>
  <si>
    <t>Prince William Sound</t>
  </si>
  <si>
    <t>Southeast/Yakutat</t>
  </si>
  <si>
    <t>Price/pound</t>
  </si>
  <si>
    <t>Forest Weight (lbs)</t>
  </si>
  <si>
    <t>Total exvessel $</t>
  </si>
  <si>
    <t>Forest Fish</t>
  </si>
  <si>
    <t>Sum of Total exvessel $</t>
  </si>
  <si>
    <t>Average Exvessel Price</t>
  </si>
  <si>
    <t>Recovery Rate</t>
  </si>
  <si>
    <t>Avg Servings (6oz)</t>
  </si>
  <si>
    <t>Sum of Avg Servings (6oz)</t>
  </si>
  <si>
    <t>Average # servings</t>
  </si>
  <si>
    <t>Number of Servings</t>
  </si>
  <si>
    <t>CPI</t>
  </si>
  <si>
    <t>CPI Corrected $</t>
  </si>
  <si>
    <t>Total</t>
  </si>
  <si>
    <t>Regional Total</t>
  </si>
  <si>
    <t>Total Conservative</t>
  </si>
  <si>
    <t>Totals</t>
  </si>
  <si>
    <t>% by Forest</t>
  </si>
  <si>
    <t>Tongass Total</t>
  </si>
  <si>
    <t>Chugach Total</t>
  </si>
  <si>
    <t>Tongass Forest Fish</t>
  </si>
  <si>
    <t>Conservative Estimate</t>
  </si>
  <si>
    <t>Liberal Estimate</t>
  </si>
  <si>
    <t>-</t>
  </si>
  <si>
    <t>Chugach Forest Fish</t>
  </si>
  <si>
    <t>*These are average values for 2011-2020</t>
  </si>
  <si>
    <t>Personal-Use + Subsistence</t>
  </si>
  <si>
    <t>StDev</t>
  </si>
  <si>
    <t>COV</t>
  </si>
  <si>
    <t>Salmon Species</t>
  </si>
  <si>
    <t>Description</t>
  </si>
  <si>
    <t>Cost</t>
  </si>
  <si>
    <t>Weight (lbs)</t>
  </si>
  <si>
    <t>Price_per_Pound</t>
  </si>
  <si>
    <t>Date</t>
  </si>
  <si>
    <t>Source</t>
  </si>
  <si>
    <t>Alaskan king salmon fillet</t>
  </si>
  <si>
    <t>https://takustore.com/collections/fresh-salmon?gad_source=1&amp;gclid=CjwKCAjwtdi_BhACEiwA97y8BOekAudcX13CHy6DhlV7sU5notdf5Mk9nUyF4DDfJX9fjpW16x2WiRoCIx4QAvD_BwE</t>
  </si>
  <si>
    <t>Fresh, king salmon fillets (before shipping)</t>
  </si>
  <si>
    <t>https://jerrysmeats.com/</t>
  </si>
  <si>
    <t>wild caught alaskan king salmon</t>
  </si>
  <si>
    <t>https://alaskaseafoodcompany.com/product/frozen-fresh-king-salmon/</t>
  </si>
  <si>
    <t>wild caught king salmon</t>
  </si>
  <si>
    <t>https://wildalaskasalmonandseafood.com/product/wild-caught-king-salmon/</t>
  </si>
  <si>
    <t>wild alaska keta salmon</t>
  </si>
  <si>
    <t>https://wildalaskasalmonandseafood.com/product/wild-alaska-keta-salmon/</t>
  </si>
  <si>
    <t>Alaskan keta salmon portions</t>
  </si>
  <si>
    <t>https://www.wildforsalmon.com/collections/wild-alaskan-salmon/products/alaska-keta-salmon-portions</t>
  </si>
  <si>
    <t>alaska keta salmon skinless fillets</t>
  </si>
  <si>
    <t>https://www.target.com/p/alaska-keta-salmon-skinless-fillets-frozen-24oz-good-38-gather-8482/-/A-14673133</t>
  </si>
  <si>
    <t>fresh, coho (before shipping costs)</t>
  </si>
  <si>
    <t>wild alaskan coho salmon</t>
  </si>
  <si>
    <t>https://wildalaskasalmonandseafood.com/product/wild-alaskan-coho-salmon/</t>
  </si>
  <si>
    <t xml:space="preserve">Coho </t>
  </si>
  <si>
    <t>Alaskan coho salmon fillet</t>
  </si>
  <si>
    <t>Alaskan pink salmon portions (bone in)</t>
  </si>
  <si>
    <t>https://www.wildforsalmon.com/products/alaska-pink-salmon-portions?srsltid=AfmBOoqmCErsg7dSPiEs6Zck8sfHrMTYZ4zuypGwYnN81-PVAgxj7NtF</t>
  </si>
  <si>
    <t>Kroger wild caught pink salmon fillets frozen</t>
  </si>
  <si>
    <t>https://www.fredmeyer.com/p/kroger-wild-caught-pink-salmon-fillets-frozen-big-deal/0001111077990?fulfillment=PICKUP&amp;storecode=70100158&amp;cid=shp_adw_shopl&amp;gStoreCode=70100158&amp;gQT=1&amp;gDelivery=PICK_UP</t>
  </si>
  <si>
    <t>wild alaskan pink salmon fillets</t>
  </si>
  <si>
    <t>https://www.safeway.com/shop/product-details.960190258.html?productId=960190258&amp;CMPID=organic_swy_all_surf_goo_20220629&amp;psrc=g&amp;gStoreCode=1820&amp;gQT=1&amp;gDelivery=PICK_UP</t>
  </si>
  <si>
    <t>Alaskan sockeye salmon fillet</t>
  </si>
  <si>
    <t>fresh, sockeye (before shipping costs)</t>
  </si>
  <si>
    <t>wild caught alaskan sockeye salmon</t>
  </si>
  <si>
    <t>https://alaskaseafoodcompany.com/product/frozen-fresh-sockeye-salmon/</t>
  </si>
  <si>
    <t>wild caught sockeye salmon</t>
  </si>
  <si>
    <t>https://wildalaskasalmonandseafood.com/product/wild-caught-sockeye-salmon/?srsltid=AfmBOopwdxR7F6HY1kUQCItA6pA3FRYxclghxP-ohqRXMI2hy12GE0RD</t>
  </si>
  <si>
    <t>wild kalgin island salmon sockeye portions</t>
  </si>
  <si>
    <t>https://www.great-alaska-seafood.com/Alaska_Sockeye_Salmon_Fillets.htm?srsltid=AfmBOoonWSP54zxSoAqVMseivl7FEih_mwJDinIZ-K8tr5-raybIl0Ma</t>
  </si>
  <si>
    <t>Liberal Value</t>
  </si>
  <si>
    <t>#ForestMass(lbs)</t>
  </si>
  <si>
    <t>% from Foreest</t>
  </si>
  <si>
    <t>Total Harvest</t>
  </si>
  <si>
    <t>Forest Harvest</t>
  </si>
  <si>
    <t>% From Forest</t>
  </si>
  <si>
    <t>Notes</t>
  </si>
  <si>
    <t>total harvest from Haught spreadsheet</t>
  </si>
  <si>
    <t>Chugach Average</t>
  </si>
  <si>
    <t>Tongass Average</t>
  </si>
  <si>
    <t>Regional Average</t>
  </si>
  <si>
    <t>Weight/fish (lbs)</t>
  </si>
  <si>
    <t>Average of Weight/fish (lbs)</t>
  </si>
  <si>
    <t>Column Labels</t>
  </si>
  <si>
    <t>Chugach fish mass (lbs)</t>
  </si>
  <si>
    <t>Tongass fish mass (lbs)</t>
  </si>
  <si>
    <t>Recovery rate</t>
  </si>
  <si>
    <t>Chugach Total Lbs</t>
  </si>
  <si>
    <t>Tongass Total Lbs</t>
  </si>
  <si>
    <t>Regional Total Lbs</t>
  </si>
  <si>
    <t># of 6 OZ servings</t>
  </si>
  <si>
    <t>Number of lbs</t>
  </si>
  <si>
    <t xml:space="preserve">Resale Price </t>
  </si>
  <si>
    <t>Replacement cost</t>
  </si>
  <si>
    <t>Personal Use + Sport</t>
  </si>
  <si>
    <t>Ex-Vessel Value US$ (CPI Corrected to 2020)</t>
  </si>
  <si>
    <t># of 6-oz Servings</t>
  </si>
  <si>
    <t>Replacement Cost</t>
  </si>
  <si>
    <t>No of 6-oz serving</t>
  </si>
  <si>
    <t>median</t>
  </si>
  <si>
    <t>Total Replacement value</t>
  </si>
  <si>
    <t>total 6 oz servings</t>
  </si>
  <si>
    <t>total 1/4 lbs servings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</si>
</sst>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[$$]#,##0.00;\-[$$]#,##0.00"/>
    <numFmt numFmtId="166" formatCode="#,##0.000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pivotButton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1" xfId="0" applyFont="1" applyBorder="1"/>
    <xf numFmtId="3" fontId="0" fillId="0" borderId="0" xfId="0" applyNumberFormat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5" xfId="0" applyBorder="1"/>
    <xf numFmtId="3" fontId="0" fillId="0" borderId="6" xfId="0" applyNumberFormat="1" applyBorder="1"/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6" xfId="0" applyFont="1" applyBorder="1"/>
    <xf numFmtId="0" fontId="0" fillId="0" borderId="8" xfId="0" applyBorder="1"/>
    <xf numFmtId="0" fontId="5" fillId="2" borderId="10" xfId="0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left" vertical="top" wrapText="1"/>
    </xf>
    <xf numFmtId="3" fontId="6" fillId="3" borderId="11" xfId="0" applyNumberFormat="1" applyFont="1" applyFill="1" applyBorder="1" applyAlignment="1">
      <alignment horizontal="right" vertical="top" wrapText="1"/>
    </xf>
    <xf numFmtId="8" fontId="0" fillId="0" borderId="0" xfId="0" applyNumberFormat="1"/>
    <xf numFmtId="0" fontId="5" fillId="2" borderId="12" xfId="0" applyFont="1" applyFill="1" applyBorder="1" applyAlignment="1">
      <alignment horizontal="left" vertical="top" wrapText="1"/>
    </xf>
    <xf numFmtId="164" fontId="0" fillId="0" borderId="0" xfId="0" applyNumberFormat="1"/>
    <xf numFmtId="4" fontId="0" fillId="0" borderId="0" xfId="0" applyNumberFormat="1"/>
    <xf numFmtId="165" fontId="6" fillId="3" borderId="11" xfId="0" applyNumberFormat="1" applyFont="1" applyFill="1" applyBorder="1" applyAlignment="1">
      <alignment horizontal="right" vertical="top" wrapText="1"/>
    </xf>
    <xf numFmtId="165" fontId="6" fillId="3" borderId="13" xfId="0" applyNumberFormat="1" applyFont="1" applyFill="1" applyBorder="1" applyAlignment="1">
      <alignment horizontal="right" vertical="top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" xfId="0" pivotButton="1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4" fontId="0" fillId="0" borderId="16" xfId="0" applyNumberFormat="1" applyBorder="1"/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0" fillId="0" borderId="16" xfId="0" pivotButton="1" applyBorder="1"/>
    <xf numFmtId="3" fontId="2" fillId="0" borderId="8" xfId="0" applyNumberFormat="1" applyFont="1" applyBorder="1"/>
    <xf numFmtId="0" fontId="2" fillId="0" borderId="5" xfId="0" applyFont="1" applyBorder="1" applyAlignment="1">
      <alignment horizontal="left"/>
    </xf>
    <xf numFmtId="3" fontId="2" fillId="0" borderId="6" xfId="0" applyNumberFormat="1" applyFont="1" applyBorder="1"/>
    <xf numFmtId="0" fontId="2" fillId="0" borderId="7" xfId="0" applyFont="1" applyBorder="1" applyAlignment="1">
      <alignment horizontal="left"/>
    </xf>
    <xf numFmtId="44" fontId="2" fillId="0" borderId="0" xfId="0" applyNumberFormat="1" applyFont="1"/>
    <xf numFmtId="3" fontId="0" fillId="0" borderId="14" xfId="0" applyNumberFormat="1" applyBorder="1"/>
    <xf numFmtId="3" fontId="0" fillId="0" borderId="15" xfId="0" applyNumberFormat="1" applyBorder="1"/>
    <xf numFmtId="0" fontId="2" fillId="0" borderId="20" xfId="0" applyFont="1" applyBorder="1"/>
    <xf numFmtId="0" fontId="2" fillId="0" borderId="21" xfId="0" applyFont="1" applyBorder="1"/>
    <xf numFmtId="0" fontId="0" fillId="0" borderId="21" xfId="0" applyBorder="1"/>
    <xf numFmtId="0" fontId="2" fillId="0" borderId="22" xfId="0" applyFont="1" applyBorder="1"/>
    <xf numFmtId="0" fontId="0" fillId="0" borderId="23" xfId="0" applyBorder="1"/>
    <xf numFmtId="0" fontId="0" fillId="0" borderId="24" xfId="0" applyBorder="1"/>
    <xf numFmtId="0" fontId="0" fillId="0" borderId="20" xfId="0" applyBorder="1"/>
    <xf numFmtId="0" fontId="0" fillId="0" borderId="0" xfId="0" applyAlignment="1">
      <alignment horizontal="center"/>
    </xf>
    <xf numFmtId="0" fontId="0" fillId="0" borderId="22" xfId="0" applyBorder="1"/>
    <xf numFmtId="0" fontId="2" fillId="0" borderId="28" xfId="0" applyFont="1" applyBorder="1"/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21" xfId="0" applyNumberForma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0" fontId="2" fillId="4" borderId="0" xfId="0" applyFont="1" applyFill="1" applyAlignment="1">
      <alignment horizontal="right"/>
    </xf>
    <xf numFmtId="3" fontId="0" fillId="4" borderId="0" xfId="0" applyNumberFormat="1" applyFill="1"/>
    <xf numFmtId="0" fontId="2" fillId="5" borderId="0" xfId="0" applyFont="1" applyFill="1" applyAlignment="1">
      <alignment horizontal="right"/>
    </xf>
    <xf numFmtId="3" fontId="0" fillId="5" borderId="0" xfId="0" applyNumberFormat="1" applyFill="1"/>
    <xf numFmtId="166" fontId="0" fillId="5" borderId="0" xfId="0" applyNumberFormat="1" applyFill="1"/>
    <xf numFmtId="0" fontId="9" fillId="0" borderId="0" xfId="0" applyFont="1"/>
    <xf numFmtId="0" fontId="10" fillId="0" borderId="0" xfId="0" applyFont="1"/>
    <xf numFmtId="15" fontId="10" fillId="0" borderId="0" xfId="0" applyNumberFormat="1" applyFont="1"/>
    <xf numFmtId="0" fontId="2" fillId="0" borderId="0" xfId="0" applyFont="1" applyAlignment="1">
      <alignment horizontal="center"/>
    </xf>
    <xf numFmtId="0" fontId="2" fillId="0" borderId="31" xfId="0" applyFont="1" applyBorder="1"/>
    <xf numFmtId="0" fontId="0" fillId="0" borderId="32" xfId="0" applyBorder="1"/>
    <xf numFmtId="0" fontId="0" fillId="0" borderId="33" xfId="0" applyBorder="1"/>
    <xf numFmtId="0" fontId="0" fillId="6" borderId="0" xfId="0" applyFill="1"/>
    <xf numFmtId="0" fontId="0" fillId="6" borderId="21" xfId="0" applyFill="1" applyBorder="1"/>
    <xf numFmtId="2" fontId="5" fillId="2" borderId="12" xfId="0" applyNumberFormat="1" applyFont="1" applyFill="1" applyBorder="1" applyAlignment="1">
      <alignment horizontal="left" vertical="top" wrapText="1"/>
    </xf>
    <xf numFmtId="2" fontId="6" fillId="3" borderId="11" xfId="0" applyNumberFormat="1" applyFont="1" applyFill="1" applyBorder="1" applyAlignment="1">
      <alignment horizontal="center" vertical="top" wrapText="1"/>
    </xf>
    <xf numFmtId="2" fontId="0" fillId="0" borderId="0" xfId="0" applyNumberFormat="1"/>
    <xf numFmtId="0" fontId="2" fillId="0" borderId="34" xfId="0" applyFont="1" applyBorder="1"/>
    <xf numFmtId="0" fontId="0" fillId="0" borderId="35" xfId="0" applyBorder="1"/>
    <xf numFmtId="0" fontId="0" fillId="0" borderId="36" xfId="0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21" xfId="0" applyNumberFormat="1" applyBorder="1"/>
    <xf numFmtId="3" fontId="0" fillId="0" borderId="23" xfId="0" applyNumberFormat="1" applyBorder="1"/>
    <xf numFmtId="3" fontId="0" fillId="0" borderId="24" xfId="0" applyNumberFormat="1" applyBorder="1"/>
    <xf numFmtId="3" fontId="2" fillId="0" borderId="21" xfId="0" applyNumberFormat="1" applyFont="1" applyBorder="1"/>
    <xf numFmtId="3" fontId="2" fillId="0" borderId="24" xfId="0" applyNumberFormat="1" applyFont="1" applyBorder="1"/>
    <xf numFmtId="4" fontId="0" fillId="0" borderId="35" xfId="0" applyNumberFormat="1" applyBorder="1"/>
    <xf numFmtId="4" fontId="0" fillId="0" borderId="23" xfId="0" applyNumberFormat="1" applyBorder="1"/>
    <xf numFmtId="2" fontId="0" fillId="0" borderId="35" xfId="0" applyNumberFormat="1" applyBorder="1"/>
    <xf numFmtId="2" fontId="0" fillId="0" borderId="23" xfId="0" applyNumberFormat="1" applyBorder="1"/>
    <xf numFmtId="0" fontId="10" fillId="0" borderId="34" xfId="0" applyFont="1" applyBorder="1"/>
    <xf numFmtId="0" fontId="10" fillId="0" borderId="20" xfId="0" applyFont="1" applyBorder="1"/>
    <xf numFmtId="0" fontId="10" fillId="0" borderId="22" xfId="0" applyFont="1" applyBorder="1"/>
    <xf numFmtId="0" fontId="2" fillId="0" borderId="7" xfId="0" applyFont="1" applyBorder="1"/>
    <xf numFmtId="0" fontId="2" fillId="0" borderId="16" xfId="0" applyFont="1" applyBorder="1"/>
    <xf numFmtId="2" fontId="0" fillId="0" borderId="5" xfId="0" applyNumberFormat="1" applyBorder="1"/>
    <xf numFmtId="3" fontId="2" fillId="0" borderId="0" xfId="0" applyNumberFormat="1" applyFont="1"/>
    <xf numFmtId="0" fontId="2" fillId="0" borderId="35" xfId="0" applyFont="1" applyBorder="1"/>
    <xf numFmtId="0" fontId="2" fillId="0" borderId="36" xfId="0" applyFont="1" applyBorder="1"/>
    <xf numFmtId="0" fontId="0" fillId="0" borderId="23" xfId="0" applyBorder="1" applyAlignment="1">
      <alignment horizontal="right"/>
    </xf>
    <xf numFmtId="0" fontId="7" fillId="0" borderId="34" xfId="0" applyFont="1" applyBorder="1" applyAlignment="1">
      <alignment horizontal="center"/>
    </xf>
    <xf numFmtId="0" fontId="4" fillId="0" borderId="34" xfId="0" applyFont="1" applyBorder="1"/>
    <xf numFmtId="0" fontId="4" fillId="0" borderId="37" xfId="0" applyFont="1" applyBorder="1"/>
    <xf numFmtId="0" fontId="2" fillId="0" borderId="40" xfId="0" applyFont="1" applyBorder="1"/>
    <xf numFmtId="0" fontId="2" fillId="0" borderId="41" xfId="0" applyFont="1" applyBorder="1"/>
    <xf numFmtId="2" fontId="0" fillId="0" borderId="21" xfId="0" applyNumberFormat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2" fontId="0" fillId="0" borderId="43" xfId="0" applyNumberFormat="1" applyBorder="1"/>
    <xf numFmtId="2" fontId="0" fillId="0" borderId="24" xfId="0" applyNumberFormat="1" applyBorder="1"/>
    <xf numFmtId="0" fontId="2" fillId="0" borderId="3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1">
    <cellStyle name="Normal" xfId="0" builtinId="0"/>
  </cellStyles>
  <dxfs count="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</dxf>
  </dxfs>
  <tableStyles count="0" defaultTableStyle="TableStyleMedium2" defaultPivotStyle="PivotStyleLight16"/>
  <colors>
    <mruColors>
      <color rgb="FFCC66FF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Commercial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8-43DF-9396-D81B88B37DDD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37D-4AE5-8217-0A8E09FB5DA6}"/>
              </c:ext>
            </c:extLst>
          </c:dPt>
          <c:dPt>
            <c:idx val="2"/>
            <c:bubble3D val="0"/>
            <c:spPr>
              <a:solidFill>
                <a:srgbClr val="CC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7D-4AE5-8217-0A8E09FB5DA6}"/>
              </c:ext>
            </c:extLst>
          </c:dPt>
          <c:dPt>
            <c:idx val="3"/>
            <c:bubble3D val="0"/>
            <c:spPr>
              <a:solidFill>
                <a:srgbClr val="FF656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7D-4AE5-8217-0A8E09FB5DA6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37D-4AE5-8217-0A8E09FB5DA6}"/>
              </c:ext>
            </c:extLst>
          </c:dPt>
          <c:cat>
            <c:strRef>
              <c:f>'Harvest # Summary'!$P$3:$P$7</c:f>
              <c:strCache>
                <c:ptCount val="5"/>
                <c:pt idx="0">
                  <c:v>Chinook</c:v>
                </c:pt>
                <c:pt idx="1">
                  <c:v>Chum</c:v>
                </c:pt>
                <c:pt idx="2">
                  <c:v>Coho</c:v>
                </c:pt>
                <c:pt idx="3">
                  <c:v>Pink</c:v>
                </c:pt>
                <c:pt idx="4">
                  <c:v>Sockeye</c:v>
                </c:pt>
              </c:strCache>
            </c:strRef>
          </c:cat>
          <c:val>
            <c:numRef>
              <c:f>'Harvest # Summary'!$Q$3:$Q$7</c:f>
              <c:numCache>
                <c:formatCode>General</c:formatCode>
                <c:ptCount val="5"/>
                <c:pt idx="0">
                  <c:v>0.1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88.9</c:v>
                </c:pt>
                <c:pt idx="4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D-4AE5-8217-0A8E09FB5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77-4BD4-B302-02D0120FE85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77-4BD4-B302-02D0120FE852}"/>
              </c:ext>
            </c:extLst>
          </c:dPt>
          <c:dPt>
            <c:idx val="2"/>
            <c:bubble3D val="0"/>
            <c:spPr>
              <a:solidFill>
                <a:srgbClr val="CC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77-4BD4-B302-02D0120FE852}"/>
              </c:ext>
            </c:extLst>
          </c:dPt>
          <c:dPt>
            <c:idx val="3"/>
            <c:bubble3D val="0"/>
            <c:spPr>
              <a:solidFill>
                <a:srgbClr val="FF656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77-4BD4-B302-02D0120FE852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77-4BD4-B302-02D0120FE852}"/>
              </c:ext>
            </c:extLst>
          </c:dPt>
          <c:cat>
            <c:strRef>
              <c:f>'Harvest # Summary'!$P$3:$P$7</c:f>
              <c:strCache>
                <c:ptCount val="5"/>
                <c:pt idx="0">
                  <c:v>Chinook</c:v>
                </c:pt>
                <c:pt idx="1">
                  <c:v>Chum</c:v>
                </c:pt>
                <c:pt idx="2">
                  <c:v>Coho</c:v>
                </c:pt>
                <c:pt idx="3">
                  <c:v>Pink</c:v>
                </c:pt>
                <c:pt idx="4">
                  <c:v>Sockeye</c:v>
                </c:pt>
              </c:strCache>
            </c:strRef>
          </c:cat>
          <c:val>
            <c:numRef>
              <c:f>'Harvest # Summary'!$S$3:$S$7</c:f>
              <c:numCache>
                <c:formatCode>General</c:formatCode>
                <c:ptCount val="5"/>
                <c:pt idx="0">
                  <c:v>2.6</c:v>
                </c:pt>
                <c:pt idx="1">
                  <c:v>1</c:v>
                </c:pt>
                <c:pt idx="2">
                  <c:v>33.799999999999997</c:v>
                </c:pt>
                <c:pt idx="3">
                  <c:v>10.5</c:v>
                </c:pt>
                <c:pt idx="4">
                  <c:v>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77-4BD4-B302-02D0120FE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Personal</a:t>
            </a:r>
            <a:r>
              <a:rPr lang="en-US" sz="1800" b="1" baseline="0">
                <a:solidFill>
                  <a:sysClr val="windowText" lastClr="000000"/>
                </a:solidFill>
              </a:rPr>
              <a:t> Use &amp; Subsistence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B8-40AB-9011-0E723FF00E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B8-40AB-9011-0E723FF00EFA}"/>
              </c:ext>
            </c:extLst>
          </c:dPt>
          <c:dPt>
            <c:idx val="2"/>
            <c:bubble3D val="0"/>
            <c:spPr>
              <a:solidFill>
                <a:srgbClr val="CC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B8-40AB-9011-0E723FF00EFA}"/>
              </c:ext>
            </c:extLst>
          </c:dPt>
          <c:dPt>
            <c:idx val="3"/>
            <c:bubble3D val="0"/>
            <c:spPr>
              <a:solidFill>
                <a:srgbClr val="FF656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B8-40AB-9011-0E723FF00EFA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B8-40AB-9011-0E723FF00EFA}"/>
              </c:ext>
            </c:extLst>
          </c:dPt>
          <c:dLbls>
            <c:dLbl>
              <c:idx val="0"/>
              <c:layout>
                <c:manualLayout>
                  <c:x val="-0.29043905186861929"/>
                  <c:y val="-1.926983085447652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B8-40AB-9011-0E723FF00EFA}"/>
                </c:ext>
              </c:extLst>
            </c:dLbl>
            <c:dLbl>
              <c:idx val="1"/>
              <c:layout>
                <c:manualLayout>
                  <c:x val="-0.17879153536078368"/>
                  <c:y val="-5.28459463400408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B8-40AB-9011-0E723FF00EFA}"/>
                </c:ext>
              </c:extLst>
            </c:dLbl>
            <c:dLbl>
              <c:idx val="2"/>
              <c:layout>
                <c:manualLayout>
                  <c:x val="-5.1300774984256184E-2"/>
                  <c:y val="-3.682742782152233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B8-40AB-9011-0E723FF00EFA}"/>
                </c:ext>
              </c:extLst>
            </c:dLbl>
            <c:dLbl>
              <c:idx val="3"/>
              <c:layout>
                <c:manualLayout>
                  <c:x val="3.1335150305329733E-2"/>
                  <c:y val="-3.58048993875765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B8-40AB-9011-0E723FF00EF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ysClr val="windowText" lastClr="000000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'Harvest # Summary'!$P$3:$P$7</c:f>
              <c:strCache>
                <c:ptCount val="5"/>
                <c:pt idx="0">
                  <c:v>Chinook</c:v>
                </c:pt>
                <c:pt idx="1">
                  <c:v>Chum</c:v>
                </c:pt>
                <c:pt idx="2">
                  <c:v>Coho</c:v>
                </c:pt>
                <c:pt idx="3">
                  <c:v>Pink</c:v>
                </c:pt>
                <c:pt idx="4">
                  <c:v>Sockeye</c:v>
                </c:pt>
              </c:strCache>
            </c:strRef>
          </c:cat>
          <c:val>
            <c:numRef>
              <c:f>'Harvest # Summary'!$U$3:$U$7</c:f>
              <c:numCache>
                <c:formatCode>0.00</c:formatCode>
                <c:ptCount val="5"/>
                <c:pt idx="0">
                  <c:v>0.1612765666757385</c:v>
                </c:pt>
                <c:pt idx="1">
                  <c:v>0.13630989983112837</c:v>
                </c:pt>
                <c:pt idx="2">
                  <c:v>1.1900325033618238</c:v>
                </c:pt>
                <c:pt idx="3">
                  <c:v>2.3463308103818594</c:v>
                </c:pt>
                <c:pt idx="4">
                  <c:v>96.166050219749451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B8-40AB-9011-0E723FF00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_xlchart.v1.20</cx:f>
      </cx:numDim>
    </cx:data>
  </cx:chartData>
  <cx:chart>
    <cx:title pos="t" align="ctr" overlay="0">
      <cx:tx>
        <cx:txData>
          <cx:v>Subsistence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400" b="1">
              <a:solidFill>
                <a:sysClr val="windowText" lastClr="000000"/>
              </a:solidFill>
            </a:defRPr>
          </a:pPr>
          <a:r>
            <a:rPr lang="en-US" sz="24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Subsistence</a:t>
          </a:r>
        </a:p>
      </cx:txPr>
    </cx:title>
    <cx:plotArea>
      <cx:plotAreaRegion>
        <cx:plotSurface>
          <cx:spPr>
            <a:ln>
              <a:solidFill>
                <a:sysClr val="windowText" lastClr="000000"/>
              </a:solidFill>
            </a:ln>
          </cx:spPr>
        </cx:plotSurface>
        <cx:series layoutId="boxWhisker" uniqueId="{E546DB9F-2E1A-4183-9F72-1C034F522572}" formatIdx="0">
          <cx:tx>
            <cx:txData>
              <cx:f/>
              <cx:v>Subsistence Cons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3-3599-4DC9-B576-22C4B1CDC149}" formatIdx="1">
          <cx:tx>
            <cx:txData>
              <cx:f/>
              <cx:v>Subsistence LIB</cx:v>
            </cx:txData>
          </cx:tx>
          <cx:spPr>
            <a:solidFill>
              <a:schemeClr val="accent3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visibility meanMarker="0" nonoutliers="0"/>
            <cx:statistics quartileMethod="exclusive"/>
          </cx:layoutPr>
        </cx:series>
      </cx:plotAreaRegion>
      <cx:axis id="0" hidden="1">
        <cx:catScaling gapWidth="0"/>
        <cx:tickLabels/>
      </cx:axis>
      <cx:axis id="1">
        <cx:valScaling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ysClr val="windowText" lastClr="000000"/>
                </a:solidFill>
              </a:defRPr>
            </a:pPr>
            <a:endParaRPr lang="en-US" sz="14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_xlchart.v1.22</cx:f>
      </cx:numDim>
    </cx:data>
  </cx:chartData>
  <cx:chart>
    <cx:title pos="t" align="ctr" overlay="0">
      <cx:tx>
        <cx:txData>
          <cx:v>Personal Use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400" b="1">
              <a:solidFill>
                <a:sysClr val="windowText" lastClr="000000"/>
              </a:solidFill>
            </a:defRPr>
          </a:pPr>
          <a:r>
            <a:rPr lang="en-US" sz="24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Personal Use</a:t>
          </a:r>
        </a:p>
      </cx:txPr>
    </cx:title>
    <cx:plotArea>
      <cx:plotAreaRegion>
        <cx:plotSurface>
          <cx:spPr>
            <a:ln>
              <a:solidFill>
                <a:sysClr val="windowText" lastClr="000000"/>
              </a:solidFill>
            </a:ln>
          </cx:spPr>
        </cx:plotSurface>
        <cx:series layoutId="boxWhisker" uniqueId="{E546DB9F-2E1A-4183-9F72-1C034F522572}" formatIdx="0">
          <cx:tx>
            <cx:txData>
              <cx:f/>
              <cx:v>Personal Use CONS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3-3599-4DC9-B576-22C4B1CDC149}" formatIdx="1">
          <cx:tx>
            <cx:txData>
              <cx:f/>
              <cx:v>Personal Use LIB</cx:v>
            </cx:txData>
          </cx:tx>
          <cx:spPr>
            <a:solidFill>
              <a:schemeClr val="accent3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visibility meanMarker="0" nonoutliers="0"/>
            <cx:statistics quartileMethod="exclusive"/>
          </cx:layoutPr>
        </cx:series>
      </cx:plotAreaRegion>
      <cx:axis id="0" hidden="1">
        <cx:catScaling gapWidth="0"/>
        <cx:tickLabels/>
      </cx:axis>
      <cx:axis id="1">
        <cx:valScaling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ysClr val="windowText" lastClr="000000"/>
                </a:solidFill>
              </a:defRPr>
            </a:pPr>
            <a:endParaRPr lang="en-US" sz="14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_xlchart.v1.25</cx:f>
      </cx:numDim>
    </cx:data>
  </cx:chartData>
  <cx:chart>
    <cx:title pos="t" align="ctr" overlay="0">
      <cx:tx>
        <cx:txData>
          <cx:v>Sport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400" b="1">
              <a:solidFill>
                <a:sysClr val="windowText" lastClr="000000"/>
              </a:solidFill>
            </a:defRPr>
          </a:pPr>
          <a:r>
            <a:rPr lang="en-US" sz="24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Sport</a:t>
          </a:r>
        </a:p>
      </cx:txPr>
    </cx:title>
    <cx:plotArea>
      <cx:plotAreaRegion>
        <cx:plotSurface>
          <cx:spPr>
            <a:ln>
              <a:solidFill>
                <a:sysClr val="windowText" lastClr="000000"/>
              </a:solidFill>
            </a:ln>
          </cx:spPr>
        </cx:plotSurface>
        <cx:series layoutId="boxWhisker" uniqueId="{E546DB9F-2E1A-4183-9F72-1C034F522572}" formatIdx="0">
          <cx:tx>
            <cx:txData>
              <cx:f/>
              <cx:v>Sport Use CONS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3-3599-4DC9-B576-22C4B1CDC149}" formatIdx="1">
          <cx:tx>
            <cx:txData>
              <cx:f/>
              <cx:v>Sport LIB</cx:v>
            </cx:txData>
          </cx:tx>
          <cx:spPr>
            <a:solidFill>
              <a:schemeClr val="accent3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visibility meanMarker="0" nonoutliers="0"/>
            <cx:statistics quartileMethod="exclusive"/>
          </cx:layoutPr>
        </cx:series>
      </cx:plotAreaRegion>
      <cx:axis id="0" hidden="1">
        <cx:catScaling gapWidth="0"/>
        <cx:tickLabels/>
      </cx:axis>
      <cx:axis id="1">
        <cx:valScaling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ysClr val="windowText" lastClr="000000"/>
                </a:solidFill>
              </a:defRPr>
            </a:pPr>
            <a:endParaRPr lang="en-US" sz="14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Commercial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400" b="1">
              <a:solidFill>
                <a:sysClr val="windowText" lastClr="000000"/>
              </a:solidFill>
            </a:defRPr>
          </a:pPr>
          <a:r>
            <a:rPr lang="en-US" sz="24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Commercial</a:t>
          </a:r>
        </a:p>
      </cx:txPr>
    </cx:title>
    <cx:plotArea>
      <cx:plotAreaRegion>
        <cx:plotSurface>
          <cx:spPr>
            <a:ln>
              <a:solidFill>
                <a:sysClr val="windowText" lastClr="000000"/>
              </a:solidFill>
            </a:ln>
          </cx:spPr>
        </cx:plotSurface>
        <cx:series layoutId="boxWhisker" uniqueId="{E546DB9F-2E1A-4183-9F72-1C034F522572}" formatIdx="0">
          <cx:tx>
            <cx:txData>
              <cx:f/>
              <cx:v>Commercial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ysClr val="windowText" lastClr="000000"/>
                </a:solidFill>
              </a:defRPr>
            </a:pPr>
            <a:endParaRPr lang="en-US" sz="14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openxmlformats.org/officeDocument/2006/relationships/chart" Target="../charts/chart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118133</xdr:colOff>
      <xdr:row>18</xdr:row>
      <xdr:rowOff>66241</xdr:rowOff>
    </xdr:from>
    <xdr:to>
      <xdr:col>13</xdr:col>
      <xdr:colOff>67168</xdr:colOff>
      <xdr:row>37</xdr:row>
      <xdr:rowOff>104341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6FB7C2E-5500-CEBB-2074-1AA007D796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00433" y="3520641"/>
              <a:ext cx="4190835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582260</xdr:colOff>
      <xdr:row>18</xdr:row>
      <xdr:rowOff>60306</xdr:rowOff>
    </xdr:from>
    <xdr:to>
      <xdr:col>8</xdr:col>
      <xdr:colOff>410068</xdr:colOff>
      <xdr:row>37</xdr:row>
      <xdr:rowOff>98406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557B322-F0AE-442F-A009-3C1B808C3B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1160" y="3514706"/>
              <a:ext cx="4171208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1178749</xdr:colOff>
      <xdr:row>18</xdr:row>
      <xdr:rowOff>7358</xdr:rowOff>
    </xdr:from>
    <xdr:to>
      <xdr:col>5</xdr:col>
      <xdr:colOff>1006556</xdr:colOff>
      <xdr:row>37</xdr:row>
      <xdr:rowOff>45458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3316990-050D-44F5-8244-5DC5D8765E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4249" y="3461758"/>
              <a:ext cx="4171207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18</xdr:row>
      <xdr:rowOff>60799</xdr:rowOff>
    </xdr:from>
    <xdr:to>
      <xdr:col>3</xdr:col>
      <xdr:colOff>529195</xdr:colOff>
      <xdr:row>37</xdr:row>
      <xdr:rowOff>98899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28F4565-D6F3-4D8D-BAEB-D276379AF1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15199"/>
              <a:ext cx="4072495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391583</xdr:colOff>
      <xdr:row>7</xdr:row>
      <xdr:rowOff>189440</xdr:rowOff>
    </xdr:from>
    <xdr:to>
      <xdr:col>19</xdr:col>
      <xdr:colOff>423333</xdr:colOff>
      <xdr:row>24</xdr:row>
      <xdr:rowOff>75140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D64EBE-46A2-D4BD-392F-527954A2A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370417</xdr:colOff>
      <xdr:row>24</xdr:row>
      <xdr:rowOff>10583</xdr:rowOff>
    </xdr:from>
    <xdr:to>
      <xdr:col>19</xdr:col>
      <xdr:colOff>402167</xdr:colOff>
      <xdr:row>38</xdr:row>
      <xdr:rowOff>86783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012A4D-48B9-4623-8037-ABC3CD635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518583</xdr:colOff>
      <xdr:row>7</xdr:row>
      <xdr:rowOff>158749</xdr:rowOff>
    </xdr:from>
    <xdr:to>
      <xdr:col>24</xdr:col>
      <xdr:colOff>550333</xdr:colOff>
      <xdr:row>26</xdr:row>
      <xdr:rowOff>25976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26268E-9C50-40B3-BBE2-0DA472787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lmore, James - FS, AK" refreshedDate="45798.448250462963" createdVersion="8" refreshedVersion="8" minRefreshableVersion="3" recordCount="650" xr:uid="{A30D1199-8CE8-4593-8681-3D48081370DA}">
  <cacheSource type="worksheet">
    <worksheetSource ref="A1:F1048576" sheet="CombinedRAW"/>
  </cacheSource>
  <cacheFields count="6">
    <cacheField name="Forest" numFmtId="0">
      <sharedItems containsBlank="1" count="3">
        <s v="Chugach"/>
        <s v="Tongass"/>
        <m/>
      </sharedItems>
    </cacheField>
    <cacheField name="Year" numFmtId="0">
      <sharedItems containsString="0" containsBlank="1" containsNumber="1" containsInteger="1" minValue="0" maxValue="2020" count="12">
        <n v="2011"/>
        <n v="2012"/>
        <n v="2013"/>
        <n v="2014"/>
        <n v="2015"/>
        <n v="2016"/>
        <n v="2017"/>
        <n v="2018"/>
        <n v="2019"/>
        <n v="2020"/>
        <n v="0"/>
        <m/>
      </sharedItems>
    </cacheField>
    <cacheField name="Fishery" numFmtId="0">
      <sharedItems containsBlank="1" containsMixedTypes="1" containsNumber="1" containsInteger="1" minValue="0" maxValue="0" count="5">
        <s v="Sport"/>
        <s v="Subsistence"/>
        <s v="Personal use"/>
        <n v="0"/>
        <m/>
      </sharedItems>
    </cacheField>
    <cacheField name="Species" numFmtId="0">
      <sharedItems containsBlank="1" containsMixedTypes="1" containsNumber="1" containsInteger="1" minValue="0" maxValue="0" count="7">
        <s v="Chinook"/>
        <s v="Sockeye"/>
        <s v="Coho"/>
        <s v="Pink"/>
        <s v="Chum"/>
        <n v="0"/>
        <m/>
      </sharedItems>
    </cacheField>
    <cacheField name="Conservative" numFmtId="0">
      <sharedItems containsString="0" containsBlank="1" containsNumber="1" minValue="-13.8247489463712" maxValue="320020.89" count="361">
        <n v="0"/>
        <n v="362.15125333333344"/>
        <n v="396.83485333333334"/>
        <n v="305.00138666666675"/>
        <n v="302.48064000000005"/>
        <n v="149.01936000000001"/>
        <n v="71.303680000000014"/>
        <n v="300.08440000000002"/>
        <n v="383.95616000000001"/>
        <n v="691.13258666666673"/>
        <n v="1127.53424"/>
        <n v="10213.23"/>
        <n v="2653.5"/>
        <n v="8976.15"/>
        <n v="4221.2925166666664"/>
        <n v="11535.1"/>
        <n v="1633.58"/>
        <n v="6900.93"/>
        <n v="5051.41"/>
        <n v="7135.4275216666656"/>
        <n v="4054.9811"/>
        <n v="787.95360000000005"/>
        <n v="817.54244999999992"/>
        <n v="839.15130000000022"/>
        <n v="591.79110000000003"/>
        <n v="2049.4737"/>
        <n v="1018.0309500000001"/>
        <n v="1077.537"/>
        <n v="1097.568"/>
        <n v="1740.4877999999999"/>
        <n v="905.35019999999986"/>
        <n v="61.73813333333333"/>
        <n v="5.7280000000000006"/>
        <n v="162.26666666666668"/>
        <n v="85.983999999999995"/>
        <n v="144.92613333333335"/>
        <n v="5.8184000000000005"/>
        <n v="188.51413333333335"/>
        <n v="184.35306666666668"/>
        <n v="229.63919999999999"/>
        <n v="72.9696"/>
        <n v="1005"/>
        <n v="764"/>
        <n v="343"/>
        <n v="87"/>
        <n v="155"/>
        <n v="246"/>
        <n v="134"/>
        <n v="22"/>
        <n v="518"/>
        <n v="282"/>
        <n v="21240"/>
        <n v="22493"/>
        <n v="23953"/>
        <n v="22133"/>
        <n v="34830"/>
        <n v="18558"/>
        <n v="15143"/>
        <n v="12743"/>
        <n v="16800"/>
        <n v="10669"/>
        <n v="200"/>
        <n v="32"/>
        <n v="12"/>
        <n v="1773"/>
        <n v="227"/>
        <n v="153"/>
        <n v="105"/>
        <n v="33"/>
        <n v="83"/>
        <n v="20"/>
        <n v="1087"/>
        <n v="639"/>
        <n v="895"/>
        <n v="784"/>
        <n v="503"/>
        <n v="1181"/>
        <n v="1249"/>
        <n v="2474"/>
        <n v="2393"/>
        <n v="1991"/>
        <n v="56"/>
        <n v="19"/>
        <n v="31"/>
        <n v="9"/>
        <n v="18"/>
        <n v="44"/>
        <n v="239016.4"/>
        <n v="262602.54000000004"/>
        <n v="270185.88"/>
        <n v="237773.32"/>
        <n v="231174.56"/>
        <n v="193048.02"/>
        <n v="186317.55"/>
        <n v="130859.72"/>
        <n v="320020.89"/>
        <n v="167629.91999999998"/>
        <n v="14062.04"/>
        <n v="12845.54"/>
        <n v="15094.88"/>
        <n v="16455.52"/>
        <n v="17225.739999999998"/>
        <n v="12257.82"/>
        <n v="14129.94"/>
        <n v="16281.98"/>
        <n v="12690.14"/>
        <n v="9541.2799999999988"/>
        <n v="1680.44"/>
        <n v="2310.48"/>
        <n v="1145.2"/>
        <n v="4181.76"/>
        <n v="3021.56"/>
        <n v="3926.16"/>
        <n v="4148.96"/>
        <n v="4818.68"/>
        <n v="3359.48"/>
        <n v="5875.52"/>
        <n v="34"/>
        <n v="89"/>
        <n v="332"/>
        <n v="143"/>
        <n v="63"/>
        <n v="286"/>
        <n v="121"/>
        <n v="65"/>
        <n v="1749.8100000000002"/>
        <n v="206.04000000000002"/>
        <n v="238.85000000000002"/>
        <n v="221.17000000000002"/>
        <n v="681.53000000000009"/>
        <n v="1449.0800000000002"/>
        <n v="1666.3400000000001"/>
        <n v="331.67"/>
        <n v="343.57000000000005"/>
        <n v="229.67000000000002"/>
        <n v="1838.7519466666668"/>
        <n v="2972.4133333333334"/>
        <n v="3132.5862800000004"/>
        <n v="1359.29483"/>
        <n v="1323.6477400000001"/>
        <n v="1713.9102933333334"/>
        <n v="3220.6760800000002"/>
        <n v="4080.8928533333333"/>
        <n v="4568.3302933333325"/>
        <n v="6183.6607999999997"/>
        <n v="913.65"/>
        <n v="485.95"/>
        <n v="499.68"/>
        <n v="673.27"/>
        <n v="1009.88"/>
        <n v="557.27"/>
        <n v="585.88"/>
        <n v="449.18999999999994"/>
        <n v="805.30090999999993"/>
        <n v="507.07732499999997"/>
        <n v="12.6435"/>
        <n v="0.80099999999999993"/>
        <n v="0.44"/>
        <n v="6.1989000000000001"/>
        <n v="1.9813000000000001"/>
        <n v="22.125299999999999"/>
        <n v="28.539733333333334"/>
        <n v="20.125600000000002"/>
        <n v="119.072"/>
        <n v="8.4391999999999996"/>
        <n v="2.6840000000000002"/>
        <n v="19.738666666666667"/>
        <n v="12.019200000000001"/>
        <n v="15.807200000000003"/>
        <n v="0.17"/>
        <n v="0.34"/>
        <n v="1.87"/>
        <n v="274260.15000000002"/>
        <n v="268765.92"/>
        <n v="177083.22"/>
        <n v="193709.73"/>
        <n v="192541.32"/>
        <n v="132119.07"/>
        <n v="151494.99"/>
        <n v="84164.28"/>
        <n v="169018.08000000002"/>
        <n v="131510.64000000001"/>
        <n v="1043.9000000000001"/>
        <n v="881.76"/>
        <n v="697.18"/>
        <n v="1036.2"/>
        <n v="913"/>
        <n v="720.94"/>
        <n v="161.04"/>
        <n v="116.38"/>
        <n v="214.94"/>
        <n v="225.06"/>
        <n v="156.56"/>
        <n v="150.80000000000001"/>
        <n v="145"/>
        <n v="765.6"/>
        <n v="165.88"/>
        <n v="313.36"/>
        <n v="318.48"/>
        <n v="417.40000000000003"/>
        <n v="185.24"/>
        <n v="544.88"/>
        <n v="211.31"/>
        <n v="6.8000000000000007"/>
        <n v="11.22"/>
        <n v="108.46000000000001"/>
        <n v="202.98000000000002"/>
        <n v="1.1900000000000002"/>
        <n v="5.1000000000000005"/>
        <n v="3.91"/>
        <n v="2.0269630035703701"/>
        <n v="1.6213476370153801"/>
        <n v="18.245131714399999"/>
        <n v="16.124648542199999"/>
        <n v="25.216383908600001"/>
        <n v="27.544770572800001"/>
        <n v="1.1112924446000001"/>
        <n v="8.0361991583000005"/>
        <n v="17.319016215000001"/>
        <n v="12.4677123415"/>
        <n v="263.87037383979998"/>
        <n v="295.62068809819999"/>
        <n v="344.47795264400003"/>
        <n v="196.46413390500001"/>
        <n v="278.8919990357"/>
        <n v="414.86846243600002"/>
        <n v="169.16431988900001"/>
        <n v="576.89734213429995"/>
        <n v="120.8323091461"/>
        <n v="4.3970705344100001"/>
        <n v="70.125360094794999"/>
        <n v="63.599059975556102"/>
        <n v="181.58128917880001"/>
        <n v="102.300965657855"/>
        <n v="151.3564818971"/>
        <n v="105.3549457294"/>
        <n v="4.8184446672450001"/>
        <n v="171.35596652980001"/>
        <n v="299.466636508877"/>
        <n v="202.280589854395"/>
        <n v="786.85251700159995"/>
        <n v="404.5316257568"/>
        <n v="525.97908932580003"/>
        <n v="301.8891146565"/>
        <n v="527.11594983129999"/>
        <n v="622.79437000200005"/>
        <n v="230.54415901620001"/>
        <n v="187.74059773350001"/>
        <n v="144.03249563070801"/>
        <n v="415.674500855708"/>
        <n v="2074.85381503279"/>
        <n v="2078.9323259175299"/>
        <n v="1805.10899305014"/>
        <n v="2183.5697238452999"/>
        <n v="2125.1028559855399"/>
        <n v="1597.8690583815701"/>
        <n v="1165.6140493498301"/>
        <n v="705.92062512241205"/>
        <n v="1454.60264831311"/>
        <n v="951.35837133373298"/>
        <n v="18630.475065341299"/>
        <n v="12855.241343052799"/>
        <n v="12682.130012977001"/>
        <n v="29941.309438873399"/>
        <n v="22957.015192597701"/>
        <n v="21214.056187147798"/>
        <n v="16623.657584776502"/>
        <n v="7311.6785805396003"/>
        <n v="8476.0113002647995"/>
        <n v="11139.4205733252"/>
        <n v="14483.2723294815"/>
        <n v="4337.8767442557801"/>
        <n v="15853.122100299201"/>
        <n v="5708.0024813883701"/>
        <n v="5823.4180473841898"/>
        <n v="6841.2835573185903"/>
        <n v="3806.9303493395"/>
        <n v="2033.4639574949299"/>
        <n v="6909.5224399170402"/>
        <n v="3383.3839992325402"/>
        <n v="135379.86017985901"/>
        <n v="135729.72623894899"/>
        <n v="191155.572467972"/>
        <n v="281137.31510453997"/>
        <n v="215609.63191542399"/>
        <n v="181604.03959462099"/>
        <n v="283894.97076624102"/>
        <n v="129533.51671587399"/>
        <n v="162723.64387412701"/>
        <n v="103242.67745323"/>
        <n v="52051.303741058699"/>
        <n v="50305.043447827898"/>
        <n v="71477.023199187301"/>
        <n v="61152.401405851102"/>
        <n v="73252.307639179606"/>
        <n v="78250.3546095575"/>
        <n v="73026.357198490499"/>
        <n v="47994.701975564298"/>
        <n v="79204.336872482498"/>
        <n v="48182.333331378803"/>
        <n v="14099.724674597799"/>
        <n v="8905.1018516831009"/>
        <n v="13071.5004172557"/>
        <n v="15256.635504161201"/>
        <n v="13198.245569913001"/>
        <n v="10635.023603052399"/>
        <n v="10123.8880921257"/>
        <n v="7004.1102772313998"/>
        <n v="9173.5484033563007"/>
        <n v="6678.1240765762996"/>
        <n v="243.55415409346199"/>
        <n v="187.96864389794001"/>
        <n v="342.88267484694001"/>
        <n v="281.82002222903998"/>
        <n v="109.908319058564"/>
        <n v="177.80072088276"/>
        <n v="200.43835799510001"/>
        <n v="115.25290170469999"/>
        <n v="151.22588897067999"/>
        <n v="120.94699652742"/>
        <n v="88.486956284986604"/>
        <n v="32.970392313961497"/>
        <n v="4.8980266634190004"/>
        <n v="212.57722723449999"/>
        <n v="84.892803952549997"/>
        <n v="173.85845094786001"/>
        <n v="80.968760175900002"/>
        <n v="140.0255991825"/>
        <n v="179.99527551828001"/>
        <n v="72.999564284499996"/>
        <n v="950.53469526669403"/>
        <n v="1101.23121119539"/>
        <n v="191.76192106308"/>
        <n v="322.29805954097998"/>
        <n v="887.33835956038001"/>
        <n v="1029.12878833272"/>
        <n v="579.61690744528005"/>
        <n v="1183.50605700491"/>
        <n v="830.83692132114004"/>
        <n v="817.18219535870003"/>
        <n v="424.33096980035998"/>
        <n v="595.13538798523803"/>
        <n v="70.164375239969999"/>
        <n v="606.33078792499998"/>
        <n v="448.97359253929"/>
        <n v="768.24953565021997"/>
        <n v="257.34645486907999"/>
        <n v="307.22266613682001"/>
        <n v="438.51596362946299"/>
        <n v="-13.8247489463712"/>
        <n v="15946.7688657708"/>
        <n v="17116.161833585102"/>
        <n v="16364.4011313395"/>
        <n v="15315.4645290013"/>
        <n v="13492.5027503905"/>
        <n v="13898.0784366675"/>
        <n v="12012.4116031305"/>
        <n v="12374.831761465201"/>
        <n v="13257.054412563901"/>
        <n v="7041.8241283323796"/>
        <m/>
      </sharedItems>
    </cacheField>
    <cacheField name="Liberal" numFmtId="0">
      <sharedItems containsString="0" containsBlank="1" containsNumber="1" minValue="0" maxValue="552006" count="357">
        <n v="0"/>
        <n v="646.69866666666678"/>
        <n v="708.63366666666661"/>
        <n v="544.64533333333338"/>
        <n v="540.14400000000001"/>
        <n v="266.10599999999999"/>
        <n v="127.328"/>
        <n v="535.86500000000001"/>
        <n v="685.63599999999997"/>
        <n v="1234.1653333333334"/>
        <n v="2013.4539999999997"/>
        <n v="16743"/>
        <n v="4350"/>
        <n v="14715"/>
        <n v="6920.1516666666666"/>
        <n v="18910"/>
        <n v="2678"/>
        <n v="11313"/>
        <n v="8281"/>
        <n v="11697.422166666665"/>
        <n v="6647.51"/>
        <n v="875.50400000000002"/>
        <n v="908.38049999999987"/>
        <n v="932.3903333333335"/>
        <n v="657.54566666666665"/>
        <n v="2277.1929999999998"/>
        <n v="1131.1455000000001"/>
        <n v="1197.2633333333333"/>
        <n v="1219.52"/>
        <n v="1933.8753333333332"/>
        <n v="1005.9446666666665"/>
        <n v="77.172666666666657"/>
        <n v="7.16"/>
        <n v="202.83333333333334"/>
        <n v="107.47999999999999"/>
        <n v="181.15766666666667"/>
        <n v="7.2729999999999997"/>
        <n v="235.64266666666666"/>
        <n v="230.44133333333332"/>
        <n v="287.04899999999998"/>
        <n v="91.212000000000003"/>
        <n v="1005"/>
        <n v="764"/>
        <n v="343"/>
        <n v="87"/>
        <n v="155"/>
        <n v="246"/>
        <n v="134"/>
        <n v="22"/>
        <n v="518"/>
        <n v="282"/>
        <n v="21240"/>
        <n v="22493"/>
        <n v="23953"/>
        <n v="22133"/>
        <n v="34830"/>
        <n v="18558"/>
        <n v="15143"/>
        <n v="12743"/>
        <n v="16800"/>
        <n v="10669"/>
        <n v="200"/>
        <n v="32"/>
        <n v="12"/>
        <n v="1773"/>
        <n v="227"/>
        <n v="153"/>
        <n v="105"/>
        <n v="33"/>
        <n v="83"/>
        <n v="20"/>
        <n v="1087"/>
        <n v="639"/>
        <n v="895"/>
        <n v="784"/>
        <n v="503"/>
        <n v="1181"/>
        <n v="1249"/>
        <n v="2474"/>
        <n v="2393"/>
        <n v="1991"/>
        <n v="56"/>
        <n v="19"/>
        <n v="31"/>
        <n v="9"/>
        <n v="18"/>
        <n v="44"/>
        <n v="432978"/>
        <n v="485775"/>
        <n v="484310"/>
        <n v="414581"/>
        <n v="411228"/>
        <n v="354602"/>
        <n v="329106"/>
        <n v="215469"/>
        <n v="552006"/>
        <n v="292968"/>
        <n v="48485"/>
        <n v="41243"/>
        <n v="53279"/>
        <n v="63697"/>
        <n v="61738"/>
        <n v="43404"/>
        <n v="51903"/>
        <n v="55679"/>
        <n v="44699"/>
        <n v="30932"/>
        <n v="5123"/>
        <n v="19242"/>
        <n v="4150"/>
        <n v="28104"/>
        <n v="7739"/>
        <n v="26658"/>
        <n v="9812"/>
        <n v="24155"/>
        <n v="9395"/>
        <n v="21128"/>
        <n v="111"/>
        <n v="375"/>
        <n v="238"/>
        <n v="51"/>
        <n v="522"/>
        <n v="722"/>
        <n v="75"/>
        <n v="286"/>
        <n v="121"/>
        <n v="65"/>
        <n v="10293"/>
        <n v="1212"/>
        <n v="1405"/>
        <n v="1301"/>
        <n v="4009"/>
        <n v="8524"/>
        <n v="9802"/>
        <n v="1951"/>
        <n v="2021"/>
        <n v="1351"/>
        <n v="3917.2713333333336"/>
        <n v="6665.1666666666661"/>
        <n v="7165.9880000000003"/>
        <n v="2880.1929999999998"/>
        <n v="2778.4659999999999"/>
        <n v="3289.3076666666666"/>
        <n v="6760.3680000000004"/>
        <n v="9106.3086666666677"/>
        <n v="9847.7526666666672"/>
        <n v="13639.18"/>
        <n v="1139"/>
        <n v="523"/>
        <n v="611"/>
        <n v="715"/>
        <n v="1081"/>
        <n v="558"/>
        <n v="624"/>
        <n v="519"/>
        <n v="837.25099999999998"/>
        <n v="586.20249999999999"/>
        <n v="14.048333333333332"/>
        <n v="0.8899999999999999"/>
        <n v="11"/>
        <n v="12.620999999999999"/>
        <n v="3.157"/>
        <n v="24.583666666666666"/>
        <n v="35.674666666666667"/>
        <n v="25.157"/>
        <n v="148.84"/>
        <n v="10.548999999999999"/>
        <n v="3.355"/>
        <n v="24.673333333333328"/>
        <n v="15.024000000000001"/>
        <n v="19.759"/>
        <n v="1"/>
        <n v="2"/>
        <n v="537765"/>
        <n v="526992"/>
        <n v="347222"/>
        <n v="379823"/>
        <n v="377532"/>
        <n v="259057"/>
        <n v="297049"/>
        <n v="165028"/>
        <n v="331408"/>
        <n v="257864"/>
        <n v="4745"/>
        <n v="4008"/>
        <n v="3169"/>
        <n v="4710"/>
        <n v="3277"/>
        <n v="732"/>
        <n v="529"/>
        <n v="977"/>
        <n v="1023"/>
        <n v="3914"/>
        <n v="3770"/>
        <n v="3625"/>
        <n v="19140"/>
        <n v="4147"/>
        <n v="7834"/>
        <n v="7962"/>
        <n v="10435"/>
        <n v="4631"/>
        <n v="13622"/>
        <n v="1243"/>
        <n v="40"/>
        <n v="66"/>
        <n v="638"/>
        <n v="1194"/>
        <n v="7"/>
        <n v="30"/>
        <n v="23"/>
        <n v="3.92592592592593"/>
        <n v="3"/>
        <n v="29"/>
        <n v="27"/>
        <n v="41"/>
        <n v="57"/>
        <n v="24"/>
        <n v="89"/>
        <n v="27.3"/>
        <n v="278"/>
        <n v="310"/>
        <n v="370"/>
        <n v="209"/>
        <n v="433"/>
        <n v="185"/>
        <n v="951"/>
        <n v="149.63"/>
        <n v="4.8315000000000001"/>
        <n v="127.551867219917"/>
        <n v="116.198863636364"/>
        <n v="309"/>
        <n v="197.25451807228899"/>
        <n v="285"/>
        <n v="193"/>
        <n v="9.5000000000000107"/>
        <n v="303"/>
        <n v="444.050652741514"/>
        <n v="325.97183520599202"/>
        <n v="1252"/>
        <n v="622"/>
        <n v="387"/>
        <n v="778"/>
        <n v="906"/>
        <n v="395"/>
        <n v="270"/>
        <n v="229.48358490566"/>
        <n v="486.60251121076197"/>
        <n v="2790"/>
        <n v="3028"/>
        <n v="2736"/>
        <n v="3057.0954216867499"/>
        <n v="2854"/>
        <n v="2404"/>
        <n v="1778"/>
        <n v="1138"/>
        <n v="2341.27962912463"/>
        <n v="1519.6953263274299"/>
        <n v="18797.010068043601"/>
        <n v="12870.7699268739"/>
        <n v="12940.747440732201"/>
        <n v="30258.934438361099"/>
        <n v="23124.868968016199"/>
        <n v="21806.162732819299"/>
        <n v="16825.082211600999"/>
        <n v="7645.1052629532396"/>
        <n v="8694.0868772775593"/>
        <n v="11283.024901479699"/>
        <n v="14634.277888979501"/>
        <n v="4419.5605416116296"/>
        <n v="16097.192948865501"/>
        <n v="5932.4694240525196"/>
        <n v="5994.3654345837103"/>
        <n v="6928.5792415389697"/>
        <n v="3944.2411080332399"/>
        <n v="2069.4091159772902"/>
        <n v="7050.9043297314602"/>
        <n v="3555.9690718954298"/>
        <n v="136931.434995485"/>
        <n v="137538.94491196299"/>
        <n v="192935.75996857701"/>
        <n v="283375.10888408398"/>
        <n v="219133.75132224799"/>
        <n v="184531.94539102601"/>
        <n v="286475.91750234598"/>
        <n v="131869.627169299"/>
        <n v="167385.53396199"/>
        <n v="106830.872155876"/>
        <n v="53771.63"/>
        <n v="51743.5146271747"/>
        <n v="74115.245961356399"/>
        <n v="62129.08"/>
        <n v="74880.81"/>
        <n v="79754.67"/>
        <n v="75871.33"/>
        <n v="49279.040000000001"/>
        <n v="80244.439933613306"/>
        <n v="49392.285939092202"/>
        <n v="15005.05"/>
        <n v="9501"/>
        <n v="13476.2"/>
        <n v="16182.75"/>
        <n v="14105.45"/>
        <n v="11210.75"/>
        <n v="10457.25"/>
        <n v="7145.35"/>
        <n v="9839"/>
        <n v="7141.6"/>
        <n v="330.67324218750002"/>
        <n v="259.49"/>
        <n v="441.65"/>
        <n v="399"/>
        <n v="159.515037593985"/>
        <n v="235.33"/>
        <n v="257.5"/>
        <n v="208.15"/>
        <n v="221.5"/>
        <n v="243.12"/>
        <n v="184.00478543563099"/>
        <n v="57.615199409158002"/>
        <n v="9.9655000000000094"/>
        <n v="192.5"/>
        <n v="269.98"/>
        <n v="252.49"/>
        <n v="237.14"/>
        <n v="220.98"/>
        <n v="158.81"/>
        <n v="1129.4900456621001"/>
        <n v="1329.6334245917401"/>
        <n v="380.71819038642798"/>
        <n v="565.42999999999995"/>
        <n v="1156.18"/>
        <n v="1227.73"/>
        <n v="778.82"/>
        <n v="1383.35"/>
        <n v="988.76"/>
        <n v="908.15"/>
        <n v="780.54"/>
        <n v="827.81832376578598"/>
        <n v="605.37"/>
        <n v="786.5"/>
        <n v="735.85"/>
        <n v="967.41"/>
        <n v="577.65"/>
        <n v="504.49"/>
        <n v="769.171279212792"/>
        <n v="476.26849707912902"/>
        <n v="22467.5"/>
        <n v="25180.1"/>
        <n v="22911.200000000001"/>
        <n v="20240.900000000001"/>
        <n v="17177.996431449301"/>
        <n v="19572.7"/>
        <n v="17135.099999999999"/>
        <n v="22250.1"/>
        <n v="22970.725222197801"/>
        <n v="12222.87134773410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lmore, James - FS, AK" refreshedDate="45798.448250925925" createdVersion="8" refreshedVersion="8" minRefreshableVersion="3" recordCount="103" xr:uid="{9AB0BC1C-3CA7-4F1A-B9EF-00A4A537B46D}">
  <cacheSource type="worksheet">
    <worksheetSource ref="A1:H1048576" sheet="Commercial"/>
  </cacheSource>
  <cacheFields count="7">
    <cacheField name="Forest" numFmtId="0">
      <sharedItems containsBlank="1" count="3">
        <s v="Chugach"/>
        <s v="Tongass"/>
        <m/>
      </sharedItems>
    </cacheField>
    <cacheField name="Species Name" numFmtId="0">
      <sharedItems containsBlank="1"/>
    </cacheField>
    <cacheField name="Year" numFmtId="0">
      <sharedItems containsBlank="1" count="11">
        <s v="2011"/>
        <s v="2012"/>
        <s v="2013"/>
        <s v="2014"/>
        <s v="2015"/>
        <s v="2016"/>
        <s v="2017"/>
        <s v="2018"/>
        <s v="2019"/>
        <s v="2020"/>
        <m/>
      </sharedItems>
    </cacheField>
    <cacheField name="Sum of Number Of Fish (estimated)" numFmtId="0">
      <sharedItems containsString="0" containsBlank="1" containsNumber="1" minValue="10188" maxValue="103768913"/>
    </cacheField>
    <cacheField name="Sum of Whole Weight (lbs)" numFmtId="0">
      <sharedItems containsString="0" containsBlank="1" containsNumber="1" minValue="134246.19209999999" maxValue="347362504.1566"/>
    </cacheField>
    <cacheField name="Proportion Forest" numFmtId="0">
      <sharedItems containsString="0" containsBlank="1" containsNumber="1" minValue="7.0000000000000007E-2" maxValue="0.98"/>
    </cacheField>
    <cacheField name="# Forest Fish" numFmtId="0">
      <sharedItems containsString="0" containsBlank="1" containsNumber="1" minValue="5297.76" maxValue="9288427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lmore, James - FS, AK" refreshedDate="45798.448251041664" createdVersion="8" refreshedVersion="8" minRefreshableVersion="3" recordCount="100" xr:uid="{A0574475-DFC3-460B-B9AD-88D7656515AC}">
  <cacheSource type="worksheet">
    <worksheetSource ref="A1:H101" sheet="Commercial"/>
  </cacheSource>
  <cacheFields count="7">
    <cacheField name="Forest" numFmtId="0">
      <sharedItems/>
    </cacheField>
    <cacheField name="Species Name" numFmtId="0">
      <sharedItems count="5">
        <s v="Chinook Salmon"/>
        <s v="Chum Salmon"/>
        <s v="Coho Salmon"/>
        <s v="Pink Salmon"/>
        <s v="Sockeye Salmon"/>
      </sharedItems>
    </cacheField>
    <cacheField name="Year" numFmtId="0">
      <sharedItems/>
    </cacheField>
    <cacheField name="Sum of Number Of Fish (estimated)" numFmtId="0">
      <sharedItems containsSemiMixedTypes="0" containsString="0" containsNumber="1" minValue="10188" maxValue="103768913"/>
    </cacheField>
    <cacheField name="Sum of Whole Weight (lbs)" numFmtId="0">
      <sharedItems containsSemiMixedTypes="0" containsString="0" containsNumber="1" minValue="134246.19209999999" maxValue="347362504.1566"/>
    </cacheField>
    <cacheField name="Proportion Forest" numFmtId="0">
      <sharedItems containsSemiMixedTypes="0" containsString="0" containsNumber="1" minValue="7.0000000000000007E-2" maxValue="0.98"/>
    </cacheField>
    <cacheField name="# Forest Fish" numFmtId="0">
      <sharedItems containsSemiMixedTypes="0" containsString="0" containsNumber="1" minValue="5297.76" maxValue="9288427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lmore, James - FS, AK" refreshedDate="45853.442987037037" createdVersion="8" refreshedVersion="8" minRefreshableVersion="3" recordCount="151" xr:uid="{536D355A-3C3F-41B4-85AB-896AA611EBA6}">
  <cacheSource type="worksheet">
    <worksheetSource ref="A1:L1048576" sheet="Commercial exvessel"/>
  </cacheSource>
  <cacheFields count="12">
    <cacheField name="Year" numFmtId="0">
      <sharedItems containsBlank="1" count="11">
        <s v="2011"/>
        <s v="2012"/>
        <s v="2013"/>
        <s v="2014"/>
        <s v="2015"/>
        <s v="2016"/>
        <s v="2017"/>
        <s v="2018"/>
        <s v="2019"/>
        <s v="2020"/>
        <m/>
      </sharedItems>
    </cacheField>
    <cacheField name="Area" numFmtId="0">
      <sharedItems containsBlank="1"/>
    </cacheField>
    <cacheField name="Forest" numFmtId="0">
      <sharedItems containsBlank="1" count="3">
        <s v="Chugach"/>
        <s v="Tongass"/>
        <m/>
      </sharedItems>
    </cacheField>
    <cacheField name="Species Name" numFmtId="0">
      <sharedItems containsBlank="1" count="6">
        <s v="Chinook Salmon"/>
        <s v="Chum Salmon"/>
        <s v="Coho Salmon"/>
        <s v="Pink Salmon"/>
        <s v="Sockeye Salmon"/>
        <m/>
      </sharedItems>
    </cacheField>
    <cacheField name="Number Of Fish (estimated)" numFmtId="0">
      <sharedItems containsString="0" containsBlank="1" containsNumber="1" minValue="2547" maxValue="97332941"/>
    </cacheField>
    <cacheField name="Whole Weight (lbs)" numFmtId="0">
      <sharedItems containsString="0" containsBlank="1" containsNumber="1" minValue="41565.653599999998" maxValue="327108910.75779998"/>
    </cacheField>
    <cacheField name="Weight/fish (lbs)" numFmtId="2">
      <sharedItems containsString="0" containsBlank="1" containsNumber="1" minValue="2.7733110255351674" maxValue="21.797489352428393"/>
    </cacheField>
    <cacheField name="Price/pound" numFmtId="0">
      <sharedItems containsString="0" containsBlank="1" containsNumber="1" minValue="0.18834817016452499" maxValue="12.907780015352801"/>
    </cacheField>
    <cacheField name="Proportion Forest" numFmtId="0">
      <sharedItems containsString="0" containsBlank="1" containsNumber="1" minValue="7.0000000000000007E-2" maxValue="0.98"/>
    </cacheField>
    <cacheField name="Forest Fish" numFmtId="0">
      <sharedItems containsString="0" containsBlank="1" containsNumber="1" minValue="1324.44" maxValue="92884277.5"/>
    </cacheField>
    <cacheField name="Forest Weight (lbs)" numFmtId="0">
      <sharedItems containsString="0" containsBlank="1" containsNumber="1" minValue="21614.139872" maxValue="298877604.79313797"/>
    </cacheField>
    <cacheField name="Total exvessel $" numFmtId="0">
      <sharedItems containsString="0" containsBlank="1" containsNumber="1" minValue="14053.810719377148" maxValue="128914510.876309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lmore, James - FS, AK" refreshedDate="45853.461829861109" createdVersion="8" refreshedVersion="8" minRefreshableVersion="3" recordCount="103" xr:uid="{E3CCC5E6-0CCE-4744-ADCC-DDF6CE7AD835}">
  <cacheSource type="worksheet">
    <worksheetSource ref="A1:K1048576" sheet="Commercial"/>
  </cacheSource>
  <cacheFields count="11">
    <cacheField name="Forest" numFmtId="0">
      <sharedItems containsBlank="1" count="3">
        <s v="Chugach"/>
        <s v="Tongass"/>
        <m/>
      </sharedItems>
    </cacheField>
    <cacheField name="Species Name" numFmtId="0">
      <sharedItems containsBlank="1" count="6">
        <s v="Chinook Salmon"/>
        <s v="Chum Salmon"/>
        <s v="Coho Salmon"/>
        <s v="Pink Salmon"/>
        <s v="Sockeye Salmon"/>
        <m/>
      </sharedItems>
    </cacheField>
    <cacheField name="Year" numFmtId="0">
      <sharedItems containsBlank="1" count="11">
        <s v="2011"/>
        <s v="2012"/>
        <s v="2013"/>
        <s v="2014"/>
        <s v="2015"/>
        <s v="2016"/>
        <s v="2017"/>
        <s v="2018"/>
        <s v="2019"/>
        <s v="2020"/>
        <m/>
      </sharedItems>
    </cacheField>
    <cacheField name="Sum of Number Of Fish (estimated)" numFmtId="0">
      <sharedItems containsString="0" containsBlank="1" containsNumber="1" minValue="10188" maxValue="103768913"/>
    </cacheField>
    <cacheField name="Sum of Whole Weight (lbs)" numFmtId="0">
      <sharedItems containsString="0" containsBlank="1" containsNumber="1" minValue="134246.19209999999" maxValue="347362504.1566"/>
    </cacheField>
    <cacheField name="Weight/fish (lbs)" numFmtId="0">
      <sharedItems containsString="0" containsBlank="1" containsNumber="1" minValue="2.7803142359684117" maxValue="21.067579388392858"/>
    </cacheField>
    <cacheField name="Proportion Forest" numFmtId="0">
      <sharedItems containsString="0" containsBlank="1" containsNumber="1" minValue="7.0000000000000007E-2" maxValue="0.98"/>
    </cacheField>
    <cacheField name="# Forest Fish" numFmtId="0">
      <sharedItems containsString="0" containsBlank="1" containsNumber="1" minValue="5297.76" maxValue="92884277.5"/>
    </cacheField>
    <cacheField name="#ForestMass(lbs)" numFmtId="0">
      <sharedItems containsString="0" containsBlank="1" containsNumber="1" minValue="69808.019891999997" maxValue="298877604.79313797"/>
    </cacheField>
    <cacheField name="Recovery Rate" numFmtId="0">
      <sharedItems containsString="0" containsBlank="1" containsNumber="1" minValue="0.52" maxValue="0.6"/>
    </cacheField>
    <cacheField name="Avg Servings (6oz)" numFmtId="0">
      <sharedItems containsString="0" containsBlank="1" containsNumber="1" minValue="102385.09584159999" maxValue="414443611.979818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x v="0"/>
    <x v="0"/>
    <x v="0"/>
    <x v="0"/>
    <x v="0"/>
  </r>
  <r>
    <x v="0"/>
    <x v="1"/>
    <x v="0"/>
    <x v="0"/>
    <x v="0"/>
    <x v="0"/>
  </r>
  <r>
    <x v="0"/>
    <x v="2"/>
    <x v="0"/>
    <x v="0"/>
    <x v="0"/>
    <x v="0"/>
  </r>
  <r>
    <x v="0"/>
    <x v="3"/>
    <x v="0"/>
    <x v="0"/>
    <x v="0"/>
    <x v="0"/>
  </r>
  <r>
    <x v="0"/>
    <x v="4"/>
    <x v="0"/>
    <x v="0"/>
    <x v="0"/>
    <x v="0"/>
  </r>
  <r>
    <x v="0"/>
    <x v="5"/>
    <x v="0"/>
    <x v="0"/>
    <x v="0"/>
    <x v="0"/>
  </r>
  <r>
    <x v="0"/>
    <x v="6"/>
    <x v="0"/>
    <x v="0"/>
    <x v="0"/>
    <x v="0"/>
  </r>
  <r>
    <x v="0"/>
    <x v="7"/>
    <x v="0"/>
    <x v="0"/>
    <x v="0"/>
    <x v="0"/>
  </r>
  <r>
    <x v="0"/>
    <x v="8"/>
    <x v="0"/>
    <x v="0"/>
    <x v="0"/>
    <x v="0"/>
  </r>
  <r>
    <x v="0"/>
    <x v="9"/>
    <x v="0"/>
    <x v="0"/>
    <x v="0"/>
    <x v="0"/>
  </r>
  <r>
    <x v="0"/>
    <x v="0"/>
    <x v="0"/>
    <x v="1"/>
    <x v="1"/>
    <x v="1"/>
  </r>
  <r>
    <x v="0"/>
    <x v="1"/>
    <x v="0"/>
    <x v="1"/>
    <x v="2"/>
    <x v="2"/>
  </r>
  <r>
    <x v="0"/>
    <x v="2"/>
    <x v="0"/>
    <x v="1"/>
    <x v="3"/>
    <x v="3"/>
  </r>
  <r>
    <x v="0"/>
    <x v="3"/>
    <x v="0"/>
    <x v="1"/>
    <x v="4"/>
    <x v="4"/>
  </r>
  <r>
    <x v="0"/>
    <x v="4"/>
    <x v="0"/>
    <x v="1"/>
    <x v="5"/>
    <x v="5"/>
  </r>
  <r>
    <x v="0"/>
    <x v="5"/>
    <x v="0"/>
    <x v="1"/>
    <x v="6"/>
    <x v="6"/>
  </r>
  <r>
    <x v="0"/>
    <x v="6"/>
    <x v="0"/>
    <x v="1"/>
    <x v="7"/>
    <x v="7"/>
  </r>
  <r>
    <x v="0"/>
    <x v="7"/>
    <x v="0"/>
    <x v="1"/>
    <x v="8"/>
    <x v="8"/>
  </r>
  <r>
    <x v="0"/>
    <x v="8"/>
    <x v="0"/>
    <x v="1"/>
    <x v="9"/>
    <x v="9"/>
  </r>
  <r>
    <x v="0"/>
    <x v="9"/>
    <x v="0"/>
    <x v="1"/>
    <x v="10"/>
    <x v="10"/>
  </r>
  <r>
    <x v="0"/>
    <x v="0"/>
    <x v="0"/>
    <x v="2"/>
    <x v="11"/>
    <x v="11"/>
  </r>
  <r>
    <x v="0"/>
    <x v="1"/>
    <x v="0"/>
    <x v="2"/>
    <x v="12"/>
    <x v="12"/>
  </r>
  <r>
    <x v="0"/>
    <x v="2"/>
    <x v="0"/>
    <x v="2"/>
    <x v="13"/>
    <x v="13"/>
  </r>
  <r>
    <x v="0"/>
    <x v="3"/>
    <x v="0"/>
    <x v="2"/>
    <x v="14"/>
    <x v="14"/>
  </r>
  <r>
    <x v="0"/>
    <x v="4"/>
    <x v="0"/>
    <x v="2"/>
    <x v="15"/>
    <x v="15"/>
  </r>
  <r>
    <x v="0"/>
    <x v="5"/>
    <x v="0"/>
    <x v="2"/>
    <x v="16"/>
    <x v="16"/>
  </r>
  <r>
    <x v="0"/>
    <x v="6"/>
    <x v="0"/>
    <x v="2"/>
    <x v="17"/>
    <x v="17"/>
  </r>
  <r>
    <x v="0"/>
    <x v="7"/>
    <x v="0"/>
    <x v="2"/>
    <x v="18"/>
    <x v="18"/>
  </r>
  <r>
    <x v="0"/>
    <x v="8"/>
    <x v="0"/>
    <x v="2"/>
    <x v="19"/>
    <x v="19"/>
  </r>
  <r>
    <x v="0"/>
    <x v="9"/>
    <x v="0"/>
    <x v="2"/>
    <x v="20"/>
    <x v="20"/>
  </r>
  <r>
    <x v="0"/>
    <x v="0"/>
    <x v="0"/>
    <x v="3"/>
    <x v="21"/>
    <x v="21"/>
  </r>
  <r>
    <x v="0"/>
    <x v="1"/>
    <x v="0"/>
    <x v="3"/>
    <x v="22"/>
    <x v="22"/>
  </r>
  <r>
    <x v="0"/>
    <x v="2"/>
    <x v="0"/>
    <x v="3"/>
    <x v="23"/>
    <x v="23"/>
  </r>
  <r>
    <x v="0"/>
    <x v="3"/>
    <x v="0"/>
    <x v="3"/>
    <x v="24"/>
    <x v="24"/>
  </r>
  <r>
    <x v="0"/>
    <x v="4"/>
    <x v="0"/>
    <x v="3"/>
    <x v="25"/>
    <x v="25"/>
  </r>
  <r>
    <x v="0"/>
    <x v="5"/>
    <x v="0"/>
    <x v="3"/>
    <x v="26"/>
    <x v="26"/>
  </r>
  <r>
    <x v="0"/>
    <x v="6"/>
    <x v="0"/>
    <x v="3"/>
    <x v="27"/>
    <x v="27"/>
  </r>
  <r>
    <x v="0"/>
    <x v="7"/>
    <x v="0"/>
    <x v="3"/>
    <x v="28"/>
    <x v="28"/>
  </r>
  <r>
    <x v="0"/>
    <x v="8"/>
    <x v="0"/>
    <x v="3"/>
    <x v="29"/>
    <x v="29"/>
  </r>
  <r>
    <x v="0"/>
    <x v="9"/>
    <x v="0"/>
    <x v="3"/>
    <x v="30"/>
    <x v="30"/>
  </r>
  <r>
    <x v="0"/>
    <x v="0"/>
    <x v="0"/>
    <x v="4"/>
    <x v="31"/>
    <x v="31"/>
  </r>
  <r>
    <x v="0"/>
    <x v="1"/>
    <x v="0"/>
    <x v="4"/>
    <x v="32"/>
    <x v="32"/>
  </r>
  <r>
    <x v="0"/>
    <x v="2"/>
    <x v="0"/>
    <x v="4"/>
    <x v="33"/>
    <x v="33"/>
  </r>
  <r>
    <x v="0"/>
    <x v="3"/>
    <x v="0"/>
    <x v="4"/>
    <x v="34"/>
    <x v="34"/>
  </r>
  <r>
    <x v="0"/>
    <x v="4"/>
    <x v="0"/>
    <x v="4"/>
    <x v="35"/>
    <x v="35"/>
  </r>
  <r>
    <x v="0"/>
    <x v="5"/>
    <x v="0"/>
    <x v="4"/>
    <x v="36"/>
    <x v="36"/>
  </r>
  <r>
    <x v="0"/>
    <x v="6"/>
    <x v="0"/>
    <x v="4"/>
    <x v="37"/>
    <x v="37"/>
  </r>
  <r>
    <x v="0"/>
    <x v="7"/>
    <x v="0"/>
    <x v="4"/>
    <x v="38"/>
    <x v="38"/>
  </r>
  <r>
    <x v="0"/>
    <x v="8"/>
    <x v="0"/>
    <x v="4"/>
    <x v="39"/>
    <x v="39"/>
  </r>
  <r>
    <x v="0"/>
    <x v="9"/>
    <x v="0"/>
    <x v="4"/>
    <x v="40"/>
    <x v="40"/>
  </r>
  <r>
    <x v="0"/>
    <x v="0"/>
    <x v="0"/>
    <x v="1"/>
    <x v="41"/>
    <x v="41"/>
  </r>
  <r>
    <x v="0"/>
    <x v="1"/>
    <x v="0"/>
    <x v="1"/>
    <x v="42"/>
    <x v="42"/>
  </r>
  <r>
    <x v="0"/>
    <x v="2"/>
    <x v="0"/>
    <x v="1"/>
    <x v="43"/>
    <x v="43"/>
  </r>
  <r>
    <x v="0"/>
    <x v="3"/>
    <x v="0"/>
    <x v="1"/>
    <x v="44"/>
    <x v="44"/>
  </r>
  <r>
    <x v="0"/>
    <x v="4"/>
    <x v="0"/>
    <x v="1"/>
    <x v="45"/>
    <x v="45"/>
  </r>
  <r>
    <x v="0"/>
    <x v="5"/>
    <x v="0"/>
    <x v="1"/>
    <x v="46"/>
    <x v="46"/>
  </r>
  <r>
    <x v="0"/>
    <x v="6"/>
    <x v="0"/>
    <x v="1"/>
    <x v="47"/>
    <x v="47"/>
  </r>
  <r>
    <x v="0"/>
    <x v="7"/>
    <x v="0"/>
    <x v="1"/>
    <x v="48"/>
    <x v="48"/>
  </r>
  <r>
    <x v="0"/>
    <x v="8"/>
    <x v="0"/>
    <x v="1"/>
    <x v="49"/>
    <x v="49"/>
  </r>
  <r>
    <x v="0"/>
    <x v="9"/>
    <x v="0"/>
    <x v="1"/>
    <x v="50"/>
    <x v="50"/>
  </r>
  <r>
    <x v="0"/>
    <x v="0"/>
    <x v="0"/>
    <x v="2"/>
    <x v="51"/>
    <x v="51"/>
  </r>
  <r>
    <x v="0"/>
    <x v="1"/>
    <x v="0"/>
    <x v="2"/>
    <x v="52"/>
    <x v="52"/>
  </r>
  <r>
    <x v="0"/>
    <x v="2"/>
    <x v="0"/>
    <x v="2"/>
    <x v="53"/>
    <x v="53"/>
  </r>
  <r>
    <x v="0"/>
    <x v="3"/>
    <x v="0"/>
    <x v="2"/>
    <x v="54"/>
    <x v="54"/>
  </r>
  <r>
    <x v="0"/>
    <x v="4"/>
    <x v="0"/>
    <x v="2"/>
    <x v="55"/>
    <x v="55"/>
  </r>
  <r>
    <x v="0"/>
    <x v="5"/>
    <x v="0"/>
    <x v="2"/>
    <x v="56"/>
    <x v="56"/>
  </r>
  <r>
    <x v="0"/>
    <x v="6"/>
    <x v="0"/>
    <x v="2"/>
    <x v="57"/>
    <x v="57"/>
  </r>
  <r>
    <x v="0"/>
    <x v="7"/>
    <x v="0"/>
    <x v="2"/>
    <x v="58"/>
    <x v="58"/>
  </r>
  <r>
    <x v="0"/>
    <x v="8"/>
    <x v="0"/>
    <x v="2"/>
    <x v="59"/>
    <x v="59"/>
  </r>
  <r>
    <x v="0"/>
    <x v="9"/>
    <x v="0"/>
    <x v="2"/>
    <x v="60"/>
    <x v="60"/>
  </r>
  <r>
    <x v="0"/>
    <x v="0"/>
    <x v="0"/>
    <x v="3"/>
    <x v="61"/>
    <x v="61"/>
  </r>
  <r>
    <x v="0"/>
    <x v="1"/>
    <x v="0"/>
    <x v="3"/>
    <x v="0"/>
    <x v="0"/>
  </r>
  <r>
    <x v="0"/>
    <x v="2"/>
    <x v="0"/>
    <x v="3"/>
    <x v="62"/>
    <x v="62"/>
  </r>
  <r>
    <x v="0"/>
    <x v="3"/>
    <x v="0"/>
    <x v="3"/>
    <x v="63"/>
    <x v="63"/>
  </r>
  <r>
    <x v="0"/>
    <x v="4"/>
    <x v="0"/>
    <x v="3"/>
    <x v="64"/>
    <x v="64"/>
  </r>
  <r>
    <x v="0"/>
    <x v="5"/>
    <x v="0"/>
    <x v="3"/>
    <x v="0"/>
    <x v="0"/>
  </r>
  <r>
    <x v="0"/>
    <x v="6"/>
    <x v="0"/>
    <x v="3"/>
    <x v="65"/>
    <x v="65"/>
  </r>
  <r>
    <x v="0"/>
    <x v="7"/>
    <x v="0"/>
    <x v="3"/>
    <x v="0"/>
    <x v="0"/>
  </r>
  <r>
    <x v="0"/>
    <x v="8"/>
    <x v="0"/>
    <x v="3"/>
    <x v="66"/>
    <x v="66"/>
  </r>
  <r>
    <x v="0"/>
    <x v="9"/>
    <x v="0"/>
    <x v="3"/>
    <x v="67"/>
    <x v="67"/>
  </r>
  <r>
    <x v="0"/>
    <x v="0"/>
    <x v="0"/>
    <x v="4"/>
    <x v="0"/>
    <x v="0"/>
  </r>
  <r>
    <x v="0"/>
    <x v="1"/>
    <x v="0"/>
    <x v="4"/>
    <x v="0"/>
    <x v="0"/>
  </r>
  <r>
    <x v="0"/>
    <x v="2"/>
    <x v="0"/>
    <x v="4"/>
    <x v="0"/>
    <x v="0"/>
  </r>
  <r>
    <x v="0"/>
    <x v="3"/>
    <x v="0"/>
    <x v="4"/>
    <x v="0"/>
    <x v="0"/>
  </r>
  <r>
    <x v="0"/>
    <x v="4"/>
    <x v="0"/>
    <x v="4"/>
    <x v="0"/>
    <x v="0"/>
  </r>
  <r>
    <x v="0"/>
    <x v="5"/>
    <x v="0"/>
    <x v="4"/>
    <x v="0"/>
    <x v="0"/>
  </r>
  <r>
    <x v="0"/>
    <x v="6"/>
    <x v="0"/>
    <x v="4"/>
    <x v="0"/>
    <x v="0"/>
  </r>
  <r>
    <x v="0"/>
    <x v="7"/>
    <x v="0"/>
    <x v="4"/>
    <x v="0"/>
    <x v="0"/>
  </r>
  <r>
    <x v="0"/>
    <x v="8"/>
    <x v="0"/>
    <x v="4"/>
    <x v="0"/>
    <x v="0"/>
  </r>
  <r>
    <x v="0"/>
    <x v="9"/>
    <x v="0"/>
    <x v="4"/>
    <x v="0"/>
    <x v="0"/>
  </r>
  <r>
    <x v="0"/>
    <x v="0"/>
    <x v="0"/>
    <x v="0"/>
    <x v="0"/>
    <x v="0"/>
  </r>
  <r>
    <x v="0"/>
    <x v="1"/>
    <x v="0"/>
    <x v="0"/>
    <x v="0"/>
    <x v="0"/>
  </r>
  <r>
    <x v="0"/>
    <x v="2"/>
    <x v="0"/>
    <x v="0"/>
    <x v="0"/>
    <x v="0"/>
  </r>
  <r>
    <x v="0"/>
    <x v="3"/>
    <x v="0"/>
    <x v="0"/>
    <x v="0"/>
    <x v="0"/>
  </r>
  <r>
    <x v="0"/>
    <x v="4"/>
    <x v="0"/>
    <x v="0"/>
    <x v="0"/>
    <x v="0"/>
  </r>
  <r>
    <x v="0"/>
    <x v="5"/>
    <x v="0"/>
    <x v="0"/>
    <x v="0"/>
    <x v="0"/>
  </r>
  <r>
    <x v="0"/>
    <x v="6"/>
    <x v="0"/>
    <x v="0"/>
    <x v="0"/>
    <x v="0"/>
  </r>
  <r>
    <x v="0"/>
    <x v="7"/>
    <x v="0"/>
    <x v="0"/>
    <x v="0"/>
    <x v="0"/>
  </r>
  <r>
    <x v="0"/>
    <x v="8"/>
    <x v="0"/>
    <x v="0"/>
    <x v="0"/>
    <x v="0"/>
  </r>
  <r>
    <x v="0"/>
    <x v="9"/>
    <x v="0"/>
    <x v="0"/>
    <x v="0"/>
    <x v="0"/>
  </r>
  <r>
    <x v="0"/>
    <x v="0"/>
    <x v="0"/>
    <x v="1"/>
    <x v="0"/>
    <x v="0"/>
  </r>
  <r>
    <x v="0"/>
    <x v="1"/>
    <x v="0"/>
    <x v="1"/>
    <x v="68"/>
    <x v="68"/>
  </r>
  <r>
    <x v="0"/>
    <x v="2"/>
    <x v="0"/>
    <x v="1"/>
    <x v="0"/>
    <x v="0"/>
  </r>
  <r>
    <x v="0"/>
    <x v="3"/>
    <x v="0"/>
    <x v="1"/>
    <x v="0"/>
    <x v="0"/>
  </r>
  <r>
    <x v="0"/>
    <x v="4"/>
    <x v="0"/>
    <x v="1"/>
    <x v="69"/>
    <x v="69"/>
  </r>
  <r>
    <x v="0"/>
    <x v="5"/>
    <x v="0"/>
    <x v="1"/>
    <x v="0"/>
    <x v="0"/>
  </r>
  <r>
    <x v="0"/>
    <x v="6"/>
    <x v="0"/>
    <x v="1"/>
    <x v="0"/>
    <x v="0"/>
  </r>
  <r>
    <x v="0"/>
    <x v="7"/>
    <x v="0"/>
    <x v="1"/>
    <x v="70"/>
    <x v="70"/>
  </r>
  <r>
    <x v="0"/>
    <x v="8"/>
    <x v="0"/>
    <x v="1"/>
    <x v="0"/>
    <x v="0"/>
  </r>
  <r>
    <x v="0"/>
    <x v="9"/>
    <x v="0"/>
    <x v="1"/>
    <x v="0"/>
    <x v="0"/>
  </r>
  <r>
    <x v="0"/>
    <x v="0"/>
    <x v="0"/>
    <x v="2"/>
    <x v="71"/>
    <x v="71"/>
  </r>
  <r>
    <x v="0"/>
    <x v="1"/>
    <x v="0"/>
    <x v="2"/>
    <x v="72"/>
    <x v="72"/>
  </r>
  <r>
    <x v="0"/>
    <x v="2"/>
    <x v="0"/>
    <x v="2"/>
    <x v="73"/>
    <x v="73"/>
  </r>
  <r>
    <x v="0"/>
    <x v="3"/>
    <x v="0"/>
    <x v="2"/>
    <x v="74"/>
    <x v="74"/>
  </r>
  <r>
    <x v="0"/>
    <x v="4"/>
    <x v="0"/>
    <x v="2"/>
    <x v="75"/>
    <x v="75"/>
  </r>
  <r>
    <x v="0"/>
    <x v="5"/>
    <x v="0"/>
    <x v="2"/>
    <x v="76"/>
    <x v="76"/>
  </r>
  <r>
    <x v="0"/>
    <x v="6"/>
    <x v="0"/>
    <x v="2"/>
    <x v="77"/>
    <x v="77"/>
  </r>
  <r>
    <x v="0"/>
    <x v="7"/>
    <x v="0"/>
    <x v="2"/>
    <x v="78"/>
    <x v="78"/>
  </r>
  <r>
    <x v="0"/>
    <x v="8"/>
    <x v="0"/>
    <x v="2"/>
    <x v="79"/>
    <x v="79"/>
  </r>
  <r>
    <x v="0"/>
    <x v="9"/>
    <x v="0"/>
    <x v="2"/>
    <x v="80"/>
    <x v="80"/>
  </r>
  <r>
    <x v="0"/>
    <x v="0"/>
    <x v="0"/>
    <x v="3"/>
    <x v="81"/>
    <x v="81"/>
  </r>
  <r>
    <x v="0"/>
    <x v="1"/>
    <x v="0"/>
    <x v="3"/>
    <x v="47"/>
    <x v="47"/>
  </r>
  <r>
    <x v="0"/>
    <x v="2"/>
    <x v="0"/>
    <x v="3"/>
    <x v="0"/>
    <x v="0"/>
  </r>
  <r>
    <x v="0"/>
    <x v="3"/>
    <x v="0"/>
    <x v="3"/>
    <x v="0"/>
    <x v="0"/>
  </r>
  <r>
    <x v="0"/>
    <x v="4"/>
    <x v="0"/>
    <x v="3"/>
    <x v="0"/>
    <x v="0"/>
  </r>
  <r>
    <x v="0"/>
    <x v="5"/>
    <x v="0"/>
    <x v="3"/>
    <x v="0"/>
    <x v="0"/>
  </r>
  <r>
    <x v="0"/>
    <x v="6"/>
    <x v="0"/>
    <x v="3"/>
    <x v="82"/>
    <x v="82"/>
  </r>
  <r>
    <x v="0"/>
    <x v="7"/>
    <x v="0"/>
    <x v="3"/>
    <x v="83"/>
    <x v="83"/>
  </r>
  <r>
    <x v="0"/>
    <x v="8"/>
    <x v="0"/>
    <x v="3"/>
    <x v="0"/>
    <x v="0"/>
  </r>
  <r>
    <x v="0"/>
    <x v="9"/>
    <x v="0"/>
    <x v="3"/>
    <x v="84"/>
    <x v="84"/>
  </r>
  <r>
    <x v="0"/>
    <x v="0"/>
    <x v="0"/>
    <x v="4"/>
    <x v="0"/>
    <x v="0"/>
  </r>
  <r>
    <x v="0"/>
    <x v="1"/>
    <x v="0"/>
    <x v="4"/>
    <x v="0"/>
    <x v="0"/>
  </r>
  <r>
    <x v="0"/>
    <x v="2"/>
    <x v="0"/>
    <x v="4"/>
    <x v="0"/>
    <x v="0"/>
  </r>
  <r>
    <x v="0"/>
    <x v="3"/>
    <x v="0"/>
    <x v="4"/>
    <x v="0"/>
    <x v="0"/>
  </r>
  <r>
    <x v="0"/>
    <x v="4"/>
    <x v="0"/>
    <x v="4"/>
    <x v="0"/>
    <x v="0"/>
  </r>
  <r>
    <x v="0"/>
    <x v="5"/>
    <x v="0"/>
    <x v="4"/>
    <x v="0"/>
    <x v="0"/>
  </r>
  <r>
    <x v="0"/>
    <x v="6"/>
    <x v="0"/>
    <x v="4"/>
    <x v="85"/>
    <x v="85"/>
  </r>
  <r>
    <x v="0"/>
    <x v="7"/>
    <x v="0"/>
    <x v="4"/>
    <x v="0"/>
    <x v="0"/>
  </r>
  <r>
    <x v="0"/>
    <x v="8"/>
    <x v="0"/>
    <x v="4"/>
    <x v="86"/>
    <x v="86"/>
  </r>
  <r>
    <x v="0"/>
    <x v="9"/>
    <x v="0"/>
    <x v="4"/>
    <x v="0"/>
    <x v="0"/>
  </r>
  <r>
    <x v="0"/>
    <x v="0"/>
    <x v="0"/>
    <x v="0"/>
    <x v="0"/>
    <x v="0"/>
  </r>
  <r>
    <x v="0"/>
    <x v="1"/>
    <x v="0"/>
    <x v="0"/>
    <x v="0"/>
    <x v="0"/>
  </r>
  <r>
    <x v="0"/>
    <x v="2"/>
    <x v="0"/>
    <x v="0"/>
    <x v="0"/>
    <x v="0"/>
  </r>
  <r>
    <x v="0"/>
    <x v="3"/>
    <x v="0"/>
    <x v="0"/>
    <x v="0"/>
    <x v="0"/>
  </r>
  <r>
    <x v="0"/>
    <x v="4"/>
    <x v="0"/>
    <x v="0"/>
    <x v="0"/>
    <x v="0"/>
  </r>
  <r>
    <x v="0"/>
    <x v="5"/>
    <x v="0"/>
    <x v="0"/>
    <x v="0"/>
    <x v="0"/>
  </r>
  <r>
    <x v="0"/>
    <x v="6"/>
    <x v="0"/>
    <x v="0"/>
    <x v="0"/>
    <x v="0"/>
  </r>
  <r>
    <x v="0"/>
    <x v="7"/>
    <x v="0"/>
    <x v="0"/>
    <x v="0"/>
    <x v="0"/>
  </r>
  <r>
    <x v="0"/>
    <x v="8"/>
    <x v="0"/>
    <x v="0"/>
    <x v="0"/>
    <x v="0"/>
  </r>
  <r>
    <x v="0"/>
    <x v="9"/>
    <x v="0"/>
    <x v="0"/>
    <x v="0"/>
    <x v="0"/>
  </r>
  <r>
    <x v="0"/>
    <x v="0"/>
    <x v="0"/>
    <x v="1"/>
    <x v="87"/>
    <x v="87"/>
  </r>
  <r>
    <x v="0"/>
    <x v="1"/>
    <x v="0"/>
    <x v="1"/>
    <x v="88"/>
    <x v="88"/>
  </r>
  <r>
    <x v="0"/>
    <x v="2"/>
    <x v="0"/>
    <x v="1"/>
    <x v="89"/>
    <x v="89"/>
  </r>
  <r>
    <x v="0"/>
    <x v="3"/>
    <x v="0"/>
    <x v="1"/>
    <x v="90"/>
    <x v="90"/>
  </r>
  <r>
    <x v="0"/>
    <x v="4"/>
    <x v="0"/>
    <x v="1"/>
    <x v="91"/>
    <x v="91"/>
  </r>
  <r>
    <x v="0"/>
    <x v="5"/>
    <x v="0"/>
    <x v="1"/>
    <x v="92"/>
    <x v="92"/>
  </r>
  <r>
    <x v="0"/>
    <x v="6"/>
    <x v="0"/>
    <x v="1"/>
    <x v="93"/>
    <x v="93"/>
  </r>
  <r>
    <x v="0"/>
    <x v="7"/>
    <x v="0"/>
    <x v="1"/>
    <x v="94"/>
    <x v="94"/>
  </r>
  <r>
    <x v="0"/>
    <x v="8"/>
    <x v="0"/>
    <x v="1"/>
    <x v="95"/>
    <x v="95"/>
  </r>
  <r>
    <x v="0"/>
    <x v="9"/>
    <x v="0"/>
    <x v="1"/>
    <x v="96"/>
    <x v="96"/>
  </r>
  <r>
    <x v="0"/>
    <x v="0"/>
    <x v="0"/>
    <x v="2"/>
    <x v="97"/>
    <x v="97"/>
  </r>
  <r>
    <x v="0"/>
    <x v="1"/>
    <x v="0"/>
    <x v="2"/>
    <x v="98"/>
    <x v="98"/>
  </r>
  <r>
    <x v="0"/>
    <x v="2"/>
    <x v="0"/>
    <x v="2"/>
    <x v="99"/>
    <x v="99"/>
  </r>
  <r>
    <x v="0"/>
    <x v="3"/>
    <x v="0"/>
    <x v="2"/>
    <x v="100"/>
    <x v="100"/>
  </r>
  <r>
    <x v="0"/>
    <x v="4"/>
    <x v="0"/>
    <x v="2"/>
    <x v="101"/>
    <x v="101"/>
  </r>
  <r>
    <x v="0"/>
    <x v="5"/>
    <x v="0"/>
    <x v="2"/>
    <x v="102"/>
    <x v="102"/>
  </r>
  <r>
    <x v="0"/>
    <x v="6"/>
    <x v="0"/>
    <x v="2"/>
    <x v="103"/>
    <x v="103"/>
  </r>
  <r>
    <x v="0"/>
    <x v="7"/>
    <x v="0"/>
    <x v="2"/>
    <x v="104"/>
    <x v="104"/>
  </r>
  <r>
    <x v="0"/>
    <x v="8"/>
    <x v="0"/>
    <x v="2"/>
    <x v="105"/>
    <x v="105"/>
  </r>
  <r>
    <x v="0"/>
    <x v="9"/>
    <x v="0"/>
    <x v="2"/>
    <x v="106"/>
    <x v="106"/>
  </r>
  <r>
    <x v="0"/>
    <x v="0"/>
    <x v="0"/>
    <x v="3"/>
    <x v="107"/>
    <x v="107"/>
  </r>
  <r>
    <x v="0"/>
    <x v="1"/>
    <x v="0"/>
    <x v="3"/>
    <x v="108"/>
    <x v="108"/>
  </r>
  <r>
    <x v="0"/>
    <x v="2"/>
    <x v="0"/>
    <x v="3"/>
    <x v="109"/>
    <x v="109"/>
  </r>
  <r>
    <x v="0"/>
    <x v="3"/>
    <x v="0"/>
    <x v="3"/>
    <x v="110"/>
    <x v="110"/>
  </r>
  <r>
    <x v="0"/>
    <x v="4"/>
    <x v="0"/>
    <x v="3"/>
    <x v="111"/>
    <x v="111"/>
  </r>
  <r>
    <x v="0"/>
    <x v="5"/>
    <x v="0"/>
    <x v="3"/>
    <x v="112"/>
    <x v="112"/>
  </r>
  <r>
    <x v="0"/>
    <x v="6"/>
    <x v="0"/>
    <x v="3"/>
    <x v="113"/>
    <x v="113"/>
  </r>
  <r>
    <x v="0"/>
    <x v="7"/>
    <x v="0"/>
    <x v="3"/>
    <x v="114"/>
    <x v="114"/>
  </r>
  <r>
    <x v="0"/>
    <x v="8"/>
    <x v="0"/>
    <x v="3"/>
    <x v="115"/>
    <x v="115"/>
  </r>
  <r>
    <x v="0"/>
    <x v="9"/>
    <x v="0"/>
    <x v="3"/>
    <x v="116"/>
    <x v="116"/>
  </r>
  <r>
    <x v="0"/>
    <x v="0"/>
    <x v="0"/>
    <x v="4"/>
    <x v="117"/>
    <x v="117"/>
  </r>
  <r>
    <x v="0"/>
    <x v="1"/>
    <x v="0"/>
    <x v="4"/>
    <x v="85"/>
    <x v="118"/>
  </r>
  <r>
    <x v="0"/>
    <x v="2"/>
    <x v="0"/>
    <x v="4"/>
    <x v="118"/>
    <x v="119"/>
  </r>
  <r>
    <x v="0"/>
    <x v="3"/>
    <x v="0"/>
    <x v="4"/>
    <x v="70"/>
    <x v="120"/>
  </r>
  <r>
    <x v="0"/>
    <x v="4"/>
    <x v="0"/>
    <x v="4"/>
    <x v="119"/>
    <x v="121"/>
  </r>
  <r>
    <x v="0"/>
    <x v="5"/>
    <x v="0"/>
    <x v="4"/>
    <x v="120"/>
    <x v="122"/>
  </r>
  <r>
    <x v="0"/>
    <x v="6"/>
    <x v="0"/>
    <x v="4"/>
    <x v="121"/>
    <x v="123"/>
  </r>
  <r>
    <x v="0"/>
    <x v="7"/>
    <x v="0"/>
    <x v="4"/>
    <x v="122"/>
    <x v="124"/>
  </r>
  <r>
    <x v="0"/>
    <x v="8"/>
    <x v="0"/>
    <x v="4"/>
    <x v="123"/>
    <x v="125"/>
  </r>
  <r>
    <x v="0"/>
    <x v="9"/>
    <x v="0"/>
    <x v="4"/>
    <x v="124"/>
    <x v="126"/>
  </r>
  <r>
    <x v="0"/>
    <x v="0"/>
    <x v="0"/>
    <x v="0"/>
    <x v="125"/>
    <x v="127"/>
  </r>
  <r>
    <x v="0"/>
    <x v="1"/>
    <x v="0"/>
    <x v="0"/>
    <x v="126"/>
    <x v="128"/>
  </r>
  <r>
    <x v="0"/>
    <x v="2"/>
    <x v="0"/>
    <x v="0"/>
    <x v="127"/>
    <x v="129"/>
  </r>
  <r>
    <x v="0"/>
    <x v="3"/>
    <x v="0"/>
    <x v="0"/>
    <x v="128"/>
    <x v="130"/>
  </r>
  <r>
    <x v="0"/>
    <x v="4"/>
    <x v="0"/>
    <x v="0"/>
    <x v="129"/>
    <x v="131"/>
  </r>
  <r>
    <x v="0"/>
    <x v="5"/>
    <x v="0"/>
    <x v="0"/>
    <x v="130"/>
    <x v="132"/>
  </r>
  <r>
    <x v="0"/>
    <x v="6"/>
    <x v="0"/>
    <x v="0"/>
    <x v="131"/>
    <x v="133"/>
  </r>
  <r>
    <x v="0"/>
    <x v="7"/>
    <x v="0"/>
    <x v="0"/>
    <x v="132"/>
    <x v="134"/>
  </r>
  <r>
    <x v="0"/>
    <x v="8"/>
    <x v="0"/>
    <x v="0"/>
    <x v="133"/>
    <x v="135"/>
  </r>
  <r>
    <x v="0"/>
    <x v="9"/>
    <x v="0"/>
    <x v="0"/>
    <x v="134"/>
    <x v="136"/>
  </r>
  <r>
    <x v="0"/>
    <x v="0"/>
    <x v="1"/>
    <x v="1"/>
    <x v="135"/>
    <x v="137"/>
  </r>
  <r>
    <x v="0"/>
    <x v="1"/>
    <x v="1"/>
    <x v="1"/>
    <x v="136"/>
    <x v="138"/>
  </r>
  <r>
    <x v="0"/>
    <x v="2"/>
    <x v="1"/>
    <x v="1"/>
    <x v="137"/>
    <x v="139"/>
  </r>
  <r>
    <x v="0"/>
    <x v="3"/>
    <x v="1"/>
    <x v="1"/>
    <x v="138"/>
    <x v="140"/>
  </r>
  <r>
    <x v="0"/>
    <x v="4"/>
    <x v="1"/>
    <x v="1"/>
    <x v="139"/>
    <x v="141"/>
  </r>
  <r>
    <x v="0"/>
    <x v="5"/>
    <x v="1"/>
    <x v="1"/>
    <x v="140"/>
    <x v="142"/>
  </r>
  <r>
    <x v="0"/>
    <x v="6"/>
    <x v="1"/>
    <x v="1"/>
    <x v="141"/>
    <x v="143"/>
  </r>
  <r>
    <x v="0"/>
    <x v="7"/>
    <x v="1"/>
    <x v="1"/>
    <x v="142"/>
    <x v="144"/>
  </r>
  <r>
    <x v="0"/>
    <x v="8"/>
    <x v="1"/>
    <x v="1"/>
    <x v="143"/>
    <x v="145"/>
  </r>
  <r>
    <x v="0"/>
    <x v="9"/>
    <x v="1"/>
    <x v="1"/>
    <x v="144"/>
    <x v="146"/>
  </r>
  <r>
    <x v="0"/>
    <x v="0"/>
    <x v="1"/>
    <x v="2"/>
    <x v="145"/>
    <x v="147"/>
  </r>
  <r>
    <x v="0"/>
    <x v="1"/>
    <x v="1"/>
    <x v="2"/>
    <x v="146"/>
    <x v="148"/>
  </r>
  <r>
    <x v="0"/>
    <x v="2"/>
    <x v="1"/>
    <x v="2"/>
    <x v="147"/>
    <x v="149"/>
  </r>
  <r>
    <x v="0"/>
    <x v="3"/>
    <x v="1"/>
    <x v="2"/>
    <x v="148"/>
    <x v="150"/>
  </r>
  <r>
    <x v="0"/>
    <x v="4"/>
    <x v="1"/>
    <x v="2"/>
    <x v="149"/>
    <x v="151"/>
  </r>
  <r>
    <x v="0"/>
    <x v="5"/>
    <x v="1"/>
    <x v="2"/>
    <x v="150"/>
    <x v="152"/>
  </r>
  <r>
    <x v="0"/>
    <x v="6"/>
    <x v="1"/>
    <x v="2"/>
    <x v="151"/>
    <x v="153"/>
  </r>
  <r>
    <x v="0"/>
    <x v="7"/>
    <x v="1"/>
    <x v="2"/>
    <x v="152"/>
    <x v="154"/>
  </r>
  <r>
    <x v="0"/>
    <x v="8"/>
    <x v="1"/>
    <x v="2"/>
    <x v="153"/>
    <x v="155"/>
  </r>
  <r>
    <x v="0"/>
    <x v="9"/>
    <x v="1"/>
    <x v="2"/>
    <x v="154"/>
    <x v="156"/>
  </r>
  <r>
    <x v="0"/>
    <x v="0"/>
    <x v="1"/>
    <x v="3"/>
    <x v="155"/>
    <x v="157"/>
  </r>
  <r>
    <x v="0"/>
    <x v="1"/>
    <x v="1"/>
    <x v="3"/>
    <x v="0"/>
    <x v="0"/>
  </r>
  <r>
    <x v="0"/>
    <x v="2"/>
    <x v="1"/>
    <x v="3"/>
    <x v="0"/>
    <x v="0"/>
  </r>
  <r>
    <x v="0"/>
    <x v="3"/>
    <x v="1"/>
    <x v="3"/>
    <x v="156"/>
    <x v="158"/>
  </r>
  <r>
    <x v="0"/>
    <x v="4"/>
    <x v="1"/>
    <x v="3"/>
    <x v="0"/>
    <x v="0"/>
  </r>
  <r>
    <x v="0"/>
    <x v="5"/>
    <x v="1"/>
    <x v="3"/>
    <x v="0"/>
    <x v="0"/>
  </r>
  <r>
    <x v="0"/>
    <x v="6"/>
    <x v="1"/>
    <x v="3"/>
    <x v="157"/>
    <x v="159"/>
  </r>
  <r>
    <x v="0"/>
    <x v="7"/>
    <x v="1"/>
    <x v="3"/>
    <x v="158"/>
    <x v="160"/>
  </r>
  <r>
    <x v="0"/>
    <x v="8"/>
    <x v="1"/>
    <x v="3"/>
    <x v="159"/>
    <x v="161"/>
  </r>
  <r>
    <x v="0"/>
    <x v="9"/>
    <x v="1"/>
    <x v="3"/>
    <x v="160"/>
    <x v="162"/>
  </r>
  <r>
    <x v="0"/>
    <x v="0"/>
    <x v="1"/>
    <x v="4"/>
    <x v="161"/>
    <x v="163"/>
  </r>
  <r>
    <x v="0"/>
    <x v="1"/>
    <x v="1"/>
    <x v="4"/>
    <x v="162"/>
    <x v="164"/>
  </r>
  <r>
    <x v="0"/>
    <x v="2"/>
    <x v="1"/>
    <x v="4"/>
    <x v="163"/>
    <x v="165"/>
  </r>
  <r>
    <x v="0"/>
    <x v="3"/>
    <x v="1"/>
    <x v="4"/>
    <x v="0"/>
    <x v="0"/>
  </r>
  <r>
    <x v="0"/>
    <x v="4"/>
    <x v="1"/>
    <x v="4"/>
    <x v="164"/>
    <x v="166"/>
  </r>
  <r>
    <x v="0"/>
    <x v="5"/>
    <x v="1"/>
    <x v="4"/>
    <x v="0"/>
    <x v="0"/>
  </r>
  <r>
    <x v="0"/>
    <x v="6"/>
    <x v="1"/>
    <x v="4"/>
    <x v="165"/>
    <x v="167"/>
  </r>
  <r>
    <x v="0"/>
    <x v="7"/>
    <x v="1"/>
    <x v="4"/>
    <x v="166"/>
    <x v="168"/>
  </r>
  <r>
    <x v="0"/>
    <x v="8"/>
    <x v="1"/>
    <x v="4"/>
    <x v="167"/>
    <x v="169"/>
  </r>
  <r>
    <x v="0"/>
    <x v="9"/>
    <x v="1"/>
    <x v="4"/>
    <x v="168"/>
    <x v="170"/>
  </r>
  <r>
    <x v="0"/>
    <x v="0"/>
    <x v="1"/>
    <x v="0"/>
    <x v="0"/>
    <x v="0"/>
  </r>
  <r>
    <x v="0"/>
    <x v="1"/>
    <x v="1"/>
    <x v="0"/>
    <x v="0"/>
    <x v="0"/>
  </r>
  <r>
    <x v="0"/>
    <x v="2"/>
    <x v="1"/>
    <x v="0"/>
    <x v="0"/>
    <x v="0"/>
  </r>
  <r>
    <x v="0"/>
    <x v="3"/>
    <x v="1"/>
    <x v="0"/>
    <x v="0"/>
    <x v="0"/>
  </r>
  <r>
    <x v="0"/>
    <x v="4"/>
    <x v="1"/>
    <x v="0"/>
    <x v="0"/>
    <x v="0"/>
  </r>
  <r>
    <x v="0"/>
    <x v="5"/>
    <x v="1"/>
    <x v="0"/>
    <x v="169"/>
    <x v="171"/>
  </r>
  <r>
    <x v="0"/>
    <x v="6"/>
    <x v="1"/>
    <x v="0"/>
    <x v="170"/>
    <x v="172"/>
  </r>
  <r>
    <x v="0"/>
    <x v="7"/>
    <x v="1"/>
    <x v="0"/>
    <x v="0"/>
    <x v="0"/>
  </r>
  <r>
    <x v="0"/>
    <x v="8"/>
    <x v="1"/>
    <x v="0"/>
    <x v="171"/>
    <x v="159"/>
  </r>
  <r>
    <x v="0"/>
    <x v="9"/>
    <x v="1"/>
    <x v="0"/>
    <x v="0"/>
    <x v="0"/>
  </r>
  <r>
    <x v="0"/>
    <x v="0"/>
    <x v="2"/>
    <x v="1"/>
    <x v="172"/>
    <x v="173"/>
  </r>
  <r>
    <x v="0"/>
    <x v="1"/>
    <x v="2"/>
    <x v="1"/>
    <x v="173"/>
    <x v="174"/>
  </r>
  <r>
    <x v="0"/>
    <x v="2"/>
    <x v="2"/>
    <x v="1"/>
    <x v="174"/>
    <x v="175"/>
  </r>
  <r>
    <x v="0"/>
    <x v="3"/>
    <x v="2"/>
    <x v="1"/>
    <x v="175"/>
    <x v="176"/>
  </r>
  <r>
    <x v="0"/>
    <x v="4"/>
    <x v="2"/>
    <x v="1"/>
    <x v="176"/>
    <x v="177"/>
  </r>
  <r>
    <x v="0"/>
    <x v="5"/>
    <x v="2"/>
    <x v="1"/>
    <x v="177"/>
    <x v="178"/>
  </r>
  <r>
    <x v="0"/>
    <x v="6"/>
    <x v="2"/>
    <x v="1"/>
    <x v="178"/>
    <x v="179"/>
  </r>
  <r>
    <x v="0"/>
    <x v="7"/>
    <x v="2"/>
    <x v="1"/>
    <x v="179"/>
    <x v="180"/>
  </r>
  <r>
    <x v="0"/>
    <x v="8"/>
    <x v="2"/>
    <x v="1"/>
    <x v="180"/>
    <x v="181"/>
  </r>
  <r>
    <x v="0"/>
    <x v="9"/>
    <x v="2"/>
    <x v="1"/>
    <x v="181"/>
    <x v="182"/>
  </r>
  <r>
    <x v="0"/>
    <x v="0"/>
    <x v="2"/>
    <x v="2"/>
    <x v="182"/>
    <x v="183"/>
  </r>
  <r>
    <x v="0"/>
    <x v="1"/>
    <x v="2"/>
    <x v="2"/>
    <x v="183"/>
    <x v="184"/>
  </r>
  <r>
    <x v="0"/>
    <x v="2"/>
    <x v="2"/>
    <x v="2"/>
    <x v="184"/>
    <x v="185"/>
  </r>
  <r>
    <x v="0"/>
    <x v="3"/>
    <x v="2"/>
    <x v="2"/>
    <x v="185"/>
    <x v="186"/>
  </r>
  <r>
    <x v="0"/>
    <x v="4"/>
    <x v="2"/>
    <x v="2"/>
    <x v="186"/>
    <x v="109"/>
  </r>
  <r>
    <x v="0"/>
    <x v="5"/>
    <x v="2"/>
    <x v="2"/>
    <x v="187"/>
    <x v="187"/>
  </r>
  <r>
    <x v="0"/>
    <x v="6"/>
    <x v="2"/>
    <x v="2"/>
    <x v="188"/>
    <x v="188"/>
  </r>
  <r>
    <x v="0"/>
    <x v="7"/>
    <x v="2"/>
    <x v="2"/>
    <x v="189"/>
    <x v="189"/>
  </r>
  <r>
    <x v="0"/>
    <x v="8"/>
    <x v="2"/>
    <x v="2"/>
    <x v="190"/>
    <x v="190"/>
  </r>
  <r>
    <x v="0"/>
    <x v="9"/>
    <x v="2"/>
    <x v="2"/>
    <x v="191"/>
    <x v="191"/>
  </r>
  <r>
    <x v="0"/>
    <x v="0"/>
    <x v="2"/>
    <x v="3"/>
    <x v="192"/>
    <x v="192"/>
  </r>
  <r>
    <x v="0"/>
    <x v="1"/>
    <x v="2"/>
    <x v="3"/>
    <x v="193"/>
    <x v="193"/>
  </r>
  <r>
    <x v="0"/>
    <x v="2"/>
    <x v="2"/>
    <x v="3"/>
    <x v="194"/>
    <x v="194"/>
  </r>
  <r>
    <x v="0"/>
    <x v="3"/>
    <x v="2"/>
    <x v="3"/>
    <x v="195"/>
    <x v="195"/>
  </r>
  <r>
    <x v="0"/>
    <x v="4"/>
    <x v="2"/>
    <x v="3"/>
    <x v="196"/>
    <x v="196"/>
  </r>
  <r>
    <x v="0"/>
    <x v="5"/>
    <x v="2"/>
    <x v="3"/>
    <x v="197"/>
    <x v="197"/>
  </r>
  <r>
    <x v="0"/>
    <x v="6"/>
    <x v="2"/>
    <x v="3"/>
    <x v="198"/>
    <x v="198"/>
  </r>
  <r>
    <x v="0"/>
    <x v="7"/>
    <x v="2"/>
    <x v="3"/>
    <x v="199"/>
    <x v="199"/>
  </r>
  <r>
    <x v="0"/>
    <x v="8"/>
    <x v="2"/>
    <x v="3"/>
    <x v="200"/>
    <x v="200"/>
  </r>
  <r>
    <x v="0"/>
    <x v="9"/>
    <x v="2"/>
    <x v="3"/>
    <x v="201"/>
    <x v="201"/>
  </r>
  <r>
    <x v="0"/>
    <x v="0"/>
    <x v="2"/>
    <x v="4"/>
    <x v="0"/>
    <x v="0"/>
  </r>
  <r>
    <x v="0"/>
    <x v="1"/>
    <x v="2"/>
    <x v="4"/>
    <x v="0"/>
    <x v="0"/>
  </r>
  <r>
    <x v="0"/>
    <x v="2"/>
    <x v="2"/>
    <x v="4"/>
    <x v="0"/>
    <x v="0"/>
  </r>
  <r>
    <x v="0"/>
    <x v="3"/>
    <x v="2"/>
    <x v="4"/>
    <x v="0"/>
    <x v="0"/>
  </r>
  <r>
    <x v="0"/>
    <x v="4"/>
    <x v="2"/>
    <x v="4"/>
    <x v="0"/>
    <x v="0"/>
  </r>
  <r>
    <x v="0"/>
    <x v="5"/>
    <x v="2"/>
    <x v="4"/>
    <x v="0"/>
    <x v="0"/>
  </r>
  <r>
    <x v="0"/>
    <x v="6"/>
    <x v="2"/>
    <x v="4"/>
    <x v="0"/>
    <x v="0"/>
  </r>
  <r>
    <x v="0"/>
    <x v="7"/>
    <x v="2"/>
    <x v="4"/>
    <x v="0"/>
    <x v="0"/>
  </r>
  <r>
    <x v="0"/>
    <x v="8"/>
    <x v="2"/>
    <x v="4"/>
    <x v="0"/>
    <x v="0"/>
  </r>
  <r>
    <x v="0"/>
    <x v="9"/>
    <x v="2"/>
    <x v="4"/>
    <x v="0"/>
    <x v="0"/>
  </r>
  <r>
    <x v="0"/>
    <x v="0"/>
    <x v="2"/>
    <x v="0"/>
    <x v="202"/>
    <x v="202"/>
  </r>
  <r>
    <x v="0"/>
    <x v="1"/>
    <x v="2"/>
    <x v="0"/>
    <x v="203"/>
    <x v="203"/>
  </r>
  <r>
    <x v="0"/>
    <x v="2"/>
    <x v="2"/>
    <x v="0"/>
    <x v="171"/>
    <x v="159"/>
  </r>
  <r>
    <x v="0"/>
    <x v="3"/>
    <x v="2"/>
    <x v="0"/>
    <x v="0"/>
    <x v="0"/>
  </r>
  <r>
    <x v="0"/>
    <x v="4"/>
    <x v="2"/>
    <x v="0"/>
    <x v="204"/>
    <x v="204"/>
  </r>
  <r>
    <x v="0"/>
    <x v="5"/>
    <x v="2"/>
    <x v="0"/>
    <x v="205"/>
    <x v="205"/>
  </r>
  <r>
    <x v="0"/>
    <x v="6"/>
    <x v="2"/>
    <x v="0"/>
    <x v="206"/>
    <x v="206"/>
  </r>
  <r>
    <x v="0"/>
    <x v="7"/>
    <x v="2"/>
    <x v="0"/>
    <x v="207"/>
    <x v="207"/>
  </r>
  <r>
    <x v="0"/>
    <x v="8"/>
    <x v="2"/>
    <x v="0"/>
    <x v="208"/>
    <x v="208"/>
  </r>
  <r>
    <x v="0"/>
    <x v="9"/>
    <x v="2"/>
    <x v="0"/>
    <x v="209"/>
    <x v="209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0"/>
    <x v="10"/>
    <x v="3"/>
    <x v="5"/>
    <x v="0"/>
    <x v="0"/>
  </r>
  <r>
    <x v="1"/>
    <x v="0"/>
    <x v="2"/>
    <x v="0"/>
    <x v="210"/>
    <x v="210"/>
  </r>
  <r>
    <x v="1"/>
    <x v="1"/>
    <x v="2"/>
    <x v="0"/>
    <x v="211"/>
    <x v="211"/>
  </r>
  <r>
    <x v="1"/>
    <x v="2"/>
    <x v="2"/>
    <x v="0"/>
    <x v="212"/>
    <x v="212"/>
  </r>
  <r>
    <x v="1"/>
    <x v="3"/>
    <x v="2"/>
    <x v="0"/>
    <x v="213"/>
    <x v="213"/>
  </r>
  <r>
    <x v="1"/>
    <x v="4"/>
    <x v="2"/>
    <x v="0"/>
    <x v="214"/>
    <x v="214"/>
  </r>
  <r>
    <x v="1"/>
    <x v="5"/>
    <x v="2"/>
    <x v="0"/>
    <x v="215"/>
    <x v="215"/>
  </r>
  <r>
    <x v="1"/>
    <x v="6"/>
    <x v="2"/>
    <x v="0"/>
    <x v="216"/>
    <x v="172"/>
  </r>
  <r>
    <x v="1"/>
    <x v="7"/>
    <x v="2"/>
    <x v="0"/>
    <x v="217"/>
    <x v="216"/>
  </r>
  <r>
    <x v="1"/>
    <x v="8"/>
    <x v="2"/>
    <x v="0"/>
    <x v="218"/>
    <x v="217"/>
  </r>
  <r>
    <x v="1"/>
    <x v="9"/>
    <x v="2"/>
    <x v="0"/>
    <x v="219"/>
    <x v="218"/>
  </r>
  <r>
    <x v="1"/>
    <x v="0"/>
    <x v="2"/>
    <x v="4"/>
    <x v="220"/>
    <x v="219"/>
  </r>
  <r>
    <x v="1"/>
    <x v="1"/>
    <x v="2"/>
    <x v="4"/>
    <x v="221"/>
    <x v="220"/>
  </r>
  <r>
    <x v="1"/>
    <x v="2"/>
    <x v="2"/>
    <x v="4"/>
    <x v="222"/>
    <x v="221"/>
  </r>
  <r>
    <x v="1"/>
    <x v="3"/>
    <x v="2"/>
    <x v="4"/>
    <x v="223"/>
    <x v="222"/>
  </r>
  <r>
    <x v="1"/>
    <x v="4"/>
    <x v="2"/>
    <x v="4"/>
    <x v="224"/>
    <x v="124"/>
  </r>
  <r>
    <x v="1"/>
    <x v="5"/>
    <x v="2"/>
    <x v="4"/>
    <x v="225"/>
    <x v="223"/>
  </r>
  <r>
    <x v="1"/>
    <x v="6"/>
    <x v="2"/>
    <x v="4"/>
    <x v="226"/>
    <x v="224"/>
  </r>
  <r>
    <x v="1"/>
    <x v="7"/>
    <x v="2"/>
    <x v="4"/>
    <x v="227"/>
    <x v="225"/>
  </r>
  <r>
    <x v="1"/>
    <x v="8"/>
    <x v="2"/>
    <x v="4"/>
    <x v="228"/>
    <x v="226"/>
  </r>
  <r>
    <x v="1"/>
    <x v="9"/>
    <x v="2"/>
    <x v="4"/>
    <x v="229"/>
    <x v="227"/>
  </r>
  <r>
    <x v="1"/>
    <x v="0"/>
    <x v="2"/>
    <x v="2"/>
    <x v="230"/>
    <x v="228"/>
  </r>
  <r>
    <x v="1"/>
    <x v="1"/>
    <x v="2"/>
    <x v="2"/>
    <x v="231"/>
    <x v="229"/>
  </r>
  <r>
    <x v="1"/>
    <x v="2"/>
    <x v="2"/>
    <x v="2"/>
    <x v="232"/>
    <x v="230"/>
  </r>
  <r>
    <x v="1"/>
    <x v="3"/>
    <x v="2"/>
    <x v="2"/>
    <x v="233"/>
    <x v="231"/>
  </r>
  <r>
    <x v="1"/>
    <x v="4"/>
    <x v="2"/>
    <x v="2"/>
    <x v="234"/>
    <x v="232"/>
  </r>
  <r>
    <x v="1"/>
    <x v="5"/>
    <x v="2"/>
    <x v="2"/>
    <x v="235"/>
    <x v="233"/>
  </r>
  <r>
    <x v="1"/>
    <x v="6"/>
    <x v="2"/>
    <x v="2"/>
    <x v="236"/>
    <x v="234"/>
  </r>
  <r>
    <x v="1"/>
    <x v="7"/>
    <x v="2"/>
    <x v="2"/>
    <x v="237"/>
    <x v="235"/>
  </r>
  <r>
    <x v="1"/>
    <x v="8"/>
    <x v="2"/>
    <x v="2"/>
    <x v="238"/>
    <x v="236"/>
  </r>
  <r>
    <x v="1"/>
    <x v="9"/>
    <x v="2"/>
    <x v="2"/>
    <x v="239"/>
    <x v="237"/>
  </r>
  <r>
    <x v="1"/>
    <x v="0"/>
    <x v="2"/>
    <x v="3"/>
    <x v="240"/>
    <x v="238"/>
  </r>
  <r>
    <x v="1"/>
    <x v="1"/>
    <x v="2"/>
    <x v="3"/>
    <x v="241"/>
    <x v="49"/>
  </r>
  <r>
    <x v="1"/>
    <x v="2"/>
    <x v="2"/>
    <x v="3"/>
    <x v="242"/>
    <x v="239"/>
  </r>
  <r>
    <x v="1"/>
    <x v="3"/>
    <x v="2"/>
    <x v="3"/>
    <x v="243"/>
    <x v="240"/>
  </r>
  <r>
    <x v="1"/>
    <x v="4"/>
    <x v="2"/>
    <x v="3"/>
    <x v="244"/>
    <x v="241"/>
  </r>
  <r>
    <x v="1"/>
    <x v="5"/>
    <x v="2"/>
    <x v="3"/>
    <x v="245"/>
    <x v="242"/>
  </r>
  <r>
    <x v="1"/>
    <x v="6"/>
    <x v="2"/>
    <x v="3"/>
    <x v="246"/>
    <x v="243"/>
  </r>
  <r>
    <x v="1"/>
    <x v="7"/>
    <x v="2"/>
    <x v="3"/>
    <x v="247"/>
    <x v="244"/>
  </r>
  <r>
    <x v="1"/>
    <x v="8"/>
    <x v="2"/>
    <x v="3"/>
    <x v="248"/>
    <x v="245"/>
  </r>
  <r>
    <x v="1"/>
    <x v="9"/>
    <x v="2"/>
    <x v="3"/>
    <x v="249"/>
    <x v="246"/>
  </r>
  <r>
    <x v="1"/>
    <x v="0"/>
    <x v="2"/>
    <x v="1"/>
    <x v="250"/>
    <x v="247"/>
  </r>
  <r>
    <x v="1"/>
    <x v="1"/>
    <x v="2"/>
    <x v="1"/>
    <x v="251"/>
    <x v="248"/>
  </r>
  <r>
    <x v="1"/>
    <x v="2"/>
    <x v="2"/>
    <x v="1"/>
    <x v="252"/>
    <x v="249"/>
  </r>
  <r>
    <x v="1"/>
    <x v="3"/>
    <x v="2"/>
    <x v="1"/>
    <x v="253"/>
    <x v="250"/>
  </r>
  <r>
    <x v="1"/>
    <x v="4"/>
    <x v="2"/>
    <x v="1"/>
    <x v="254"/>
    <x v="251"/>
  </r>
  <r>
    <x v="1"/>
    <x v="5"/>
    <x v="2"/>
    <x v="1"/>
    <x v="255"/>
    <x v="252"/>
  </r>
  <r>
    <x v="1"/>
    <x v="6"/>
    <x v="2"/>
    <x v="1"/>
    <x v="256"/>
    <x v="253"/>
  </r>
  <r>
    <x v="1"/>
    <x v="7"/>
    <x v="2"/>
    <x v="1"/>
    <x v="257"/>
    <x v="254"/>
  </r>
  <r>
    <x v="1"/>
    <x v="8"/>
    <x v="2"/>
    <x v="1"/>
    <x v="258"/>
    <x v="255"/>
  </r>
  <r>
    <x v="1"/>
    <x v="9"/>
    <x v="2"/>
    <x v="1"/>
    <x v="259"/>
    <x v="256"/>
  </r>
  <r>
    <x v="1"/>
    <x v="0"/>
    <x v="0"/>
    <x v="0"/>
    <x v="260"/>
    <x v="257"/>
  </r>
  <r>
    <x v="1"/>
    <x v="1"/>
    <x v="0"/>
    <x v="0"/>
    <x v="261"/>
    <x v="258"/>
  </r>
  <r>
    <x v="1"/>
    <x v="2"/>
    <x v="0"/>
    <x v="0"/>
    <x v="262"/>
    <x v="259"/>
  </r>
  <r>
    <x v="1"/>
    <x v="3"/>
    <x v="0"/>
    <x v="0"/>
    <x v="263"/>
    <x v="260"/>
  </r>
  <r>
    <x v="1"/>
    <x v="4"/>
    <x v="0"/>
    <x v="0"/>
    <x v="264"/>
    <x v="261"/>
  </r>
  <r>
    <x v="1"/>
    <x v="5"/>
    <x v="0"/>
    <x v="0"/>
    <x v="265"/>
    <x v="262"/>
  </r>
  <r>
    <x v="1"/>
    <x v="6"/>
    <x v="0"/>
    <x v="0"/>
    <x v="266"/>
    <x v="263"/>
  </r>
  <r>
    <x v="1"/>
    <x v="7"/>
    <x v="0"/>
    <x v="0"/>
    <x v="267"/>
    <x v="264"/>
  </r>
  <r>
    <x v="1"/>
    <x v="8"/>
    <x v="0"/>
    <x v="0"/>
    <x v="268"/>
    <x v="265"/>
  </r>
  <r>
    <x v="1"/>
    <x v="9"/>
    <x v="0"/>
    <x v="0"/>
    <x v="269"/>
    <x v="266"/>
  </r>
  <r>
    <x v="1"/>
    <x v="0"/>
    <x v="0"/>
    <x v="4"/>
    <x v="270"/>
    <x v="267"/>
  </r>
  <r>
    <x v="1"/>
    <x v="1"/>
    <x v="0"/>
    <x v="4"/>
    <x v="271"/>
    <x v="268"/>
  </r>
  <r>
    <x v="1"/>
    <x v="2"/>
    <x v="0"/>
    <x v="4"/>
    <x v="272"/>
    <x v="269"/>
  </r>
  <r>
    <x v="1"/>
    <x v="3"/>
    <x v="0"/>
    <x v="4"/>
    <x v="273"/>
    <x v="270"/>
  </r>
  <r>
    <x v="1"/>
    <x v="4"/>
    <x v="0"/>
    <x v="4"/>
    <x v="274"/>
    <x v="271"/>
  </r>
  <r>
    <x v="1"/>
    <x v="5"/>
    <x v="0"/>
    <x v="4"/>
    <x v="275"/>
    <x v="272"/>
  </r>
  <r>
    <x v="1"/>
    <x v="6"/>
    <x v="0"/>
    <x v="4"/>
    <x v="276"/>
    <x v="273"/>
  </r>
  <r>
    <x v="1"/>
    <x v="7"/>
    <x v="0"/>
    <x v="4"/>
    <x v="277"/>
    <x v="274"/>
  </r>
  <r>
    <x v="1"/>
    <x v="8"/>
    <x v="0"/>
    <x v="4"/>
    <x v="278"/>
    <x v="275"/>
  </r>
  <r>
    <x v="1"/>
    <x v="9"/>
    <x v="0"/>
    <x v="4"/>
    <x v="279"/>
    <x v="276"/>
  </r>
  <r>
    <x v="1"/>
    <x v="0"/>
    <x v="0"/>
    <x v="2"/>
    <x v="280"/>
    <x v="277"/>
  </r>
  <r>
    <x v="1"/>
    <x v="1"/>
    <x v="0"/>
    <x v="2"/>
    <x v="281"/>
    <x v="278"/>
  </r>
  <r>
    <x v="1"/>
    <x v="2"/>
    <x v="0"/>
    <x v="2"/>
    <x v="282"/>
    <x v="279"/>
  </r>
  <r>
    <x v="1"/>
    <x v="3"/>
    <x v="0"/>
    <x v="2"/>
    <x v="283"/>
    <x v="280"/>
  </r>
  <r>
    <x v="1"/>
    <x v="4"/>
    <x v="0"/>
    <x v="2"/>
    <x v="284"/>
    <x v="281"/>
  </r>
  <r>
    <x v="1"/>
    <x v="5"/>
    <x v="0"/>
    <x v="2"/>
    <x v="285"/>
    <x v="282"/>
  </r>
  <r>
    <x v="1"/>
    <x v="6"/>
    <x v="0"/>
    <x v="2"/>
    <x v="286"/>
    <x v="283"/>
  </r>
  <r>
    <x v="1"/>
    <x v="7"/>
    <x v="0"/>
    <x v="2"/>
    <x v="287"/>
    <x v="284"/>
  </r>
  <r>
    <x v="1"/>
    <x v="8"/>
    <x v="0"/>
    <x v="2"/>
    <x v="288"/>
    <x v="285"/>
  </r>
  <r>
    <x v="1"/>
    <x v="9"/>
    <x v="0"/>
    <x v="2"/>
    <x v="289"/>
    <x v="286"/>
  </r>
  <r>
    <x v="1"/>
    <x v="0"/>
    <x v="0"/>
    <x v="3"/>
    <x v="290"/>
    <x v="287"/>
  </r>
  <r>
    <x v="1"/>
    <x v="1"/>
    <x v="0"/>
    <x v="3"/>
    <x v="291"/>
    <x v="288"/>
  </r>
  <r>
    <x v="1"/>
    <x v="2"/>
    <x v="0"/>
    <x v="3"/>
    <x v="292"/>
    <x v="289"/>
  </r>
  <r>
    <x v="1"/>
    <x v="3"/>
    <x v="0"/>
    <x v="3"/>
    <x v="293"/>
    <x v="290"/>
  </r>
  <r>
    <x v="1"/>
    <x v="4"/>
    <x v="0"/>
    <x v="3"/>
    <x v="294"/>
    <x v="291"/>
  </r>
  <r>
    <x v="1"/>
    <x v="5"/>
    <x v="0"/>
    <x v="3"/>
    <x v="295"/>
    <x v="292"/>
  </r>
  <r>
    <x v="1"/>
    <x v="6"/>
    <x v="0"/>
    <x v="3"/>
    <x v="296"/>
    <x v="293"/>
  </r>
  <r>
    <x v="1"/>
    <x v="7"/>
    <x v="0"/>
    <x v="3"/>
    <x v="297"/>
    <x v="294"/>
  </r>
  <r>
    <x v="1"/>
    <x v="8"/>
    <x v="0"/>
    <x v="3"/>
    <x v="298"/>
    <x v="295"/>
  </r>
  <r>
    <x v="1"/>
    <x v="9"/>
    <x v="0"/>
    <x v="3"/>
    <x v="299"/>
    <x v="296"/>
  </r>
  <r>
    <x v="1"/>
    <x v="0"/>
    <x v="0"/>
    <x v="1"/>
    <x v="300"/>
    <x v="297"/>
  </r>
  <r>
    <x v="1"/>
    <x v="1"/>
    <x v="0"/>
    <x v="1"/>
    <x v="301"/>
    <x v="298"/>
  </r>
  <r>
    <x v="1"/>
    <x v="2"/>
    <x v="0"/>
    <x v="1"/>
    <x v="302"/>
    <x v="299"/>
  </r>
  <r>
    <x v="1"/>
    <x v="3"/>
    <x v="0"/>
    <x v="1"/>
    <x v="303"/>
    <x v="300"/>
  </r>
  <r>
    <x v="1"/>
    <x v="4"/>
    <x v="0"/>
    <x v="1"/>
    <x v="304"/>
    <x v="301"/>
  </r>
  <r>
    <x v="1"/>
    <x v="5"/>
    <x v="0"/>
    <x v="1"/>
    <x v="305"/>
    <x v="302"/>
  </r>
  <r>
    <x v="1"/>
    <x v="6"/>
    <x v="0"/>
    <x v="1"/>
    <x v="306"/>
    <x v="303"/>
  </r>
  <r>
    <x v="1"/>
    <x v="7"/>
    <x v="0"/>
    <x v="1"/>
    <x v="307"/>
    <x v="304"/>
  </r>
  <r>
    <x v="1"/>
    <x v="8"/>
    <x v="0"/>
    <x v="1"/>
    <x v="308"/>
    <x v="305"/>
  </r>
  <r>
    <x v="1"/>
    <x v="9"/>
    <x v="0"/>
    <x v="1"/>
    <x v="309"/>
    <x v="306"/>
  </r>
  <r>
    <x v="1"/>
    <x v="0"/>
    <x v="1"/>
    <x v="0"/>
    <x v="310"/>
    <x v="307"/>
  </r>
  <r>
    <x v="1"/>
    <x v="1"/>
    <x v="1"/>
    <x v="0"/>
    <x v="311"/>
    <x v="308"/>
  </r>
  <r>
    <x v="1"/>
    <x v="2"/>
    <x v="1"/>
    <x v="0"/>
    <x v="312"/>
    <x v="309"/>
  </r>
  <r>
    <x v="1"/>
    <x v="3"/>
    <x v="1"/>
    <x v="0"/>
    <x v="313"/>
    <x v="310"/>
  </r>
  <r>
    <x v="1"/>
    <x v="4"/>
    <x v="1"/>
    <x v="0"/>
    <x v="314"/>
    <x v="311"/>
  </r>
  <r>
    <x v="1"/>
    <x v="5"/>
    <x v="1"/>
    <x v="0"/>
    <x v="315"/>
    <x v="312"/>
  </r>
  <r>
    <x v="1"/>
    <x v="6"/>
    <x v="1"/>
    <x v="0"/>
    <x v="316"/>
    <x v="313"/>
  </r>
  <r>
    <x v="1"/>
    <x v="7"/>
    <x v="1"/>
    <x v="0"/>
    <x v="317"/>
    <x v="314"/>
  </r>
  <r>
    <x v="1"/>
    <x v="8"/>
    <x v="1"/>
    <x v="0"/>
    <x v="318"/>
    <x v="315"/>
  </r>
  <r>
    <x v="1"/>
    <x v="9"/>
    <x v="1"/>
    <x v="0"/>
    <x v="319"/>
    <x v="316"/>
  </r>
  <r>
    <x v="1"/>
    <x v="0"/>
    <x v="1"/>
    <x v="4"/>
    <x v="320"/>
    <x v="317"/>
  </r>
  <r>
    <x v="1"/>
    <x v="1"/>
    <x v="1"/>
    <x v="4"/>
    <x v="321"/>
    <x v="318"/>
  </r>
  <r>
    <x v="1"/>
    <x v="2"/>
    <x v="1"/>
    <x v="4"/>
    <x v="322"/>
    <x v="319"/>
  </r>
  <r>
    <x v="1"/>
    <x v="3"/>
    <x v="1"/>
    <x v="4"/>
    <x v="323"/>
    <x v="235"/>
  </r>
  <r>
    <x v="1"/>
    <x v="4"/>
    <x v="1"/>
    <x v="4"/>
    <x v="324"/>
    <x v="320"/>
  </r>
  <r>
    <x v="1"/>
    <x v="5"/>
    <x v="1"/>
    <x v="4"/>
    <x v="325"/>
    <x v="321"/>
  </r>
  <r>
    <x v="1"/>
    <x v="6"/>
    <x v="1"/>
    <x v="4"/>
    <x v="326"/>
    <x v="322"/>
  </r>
  <r>
    <x v="1"/>
    <x v="7"/>
    <x v="1"/>
    <x v="4"/>
    <x v="327"/>
    <x v="323"/>
  </r>
  <r>
    <x v="1"/>
    <x v="8"/>
    <x v="1"/>
    <x v="4"/>
    <x v="328"/>
    <x v="324"/>
  </r>
  <r>
    <x v="1"/>
    <x v="9"/>
    <x v="1"/>
    <x v="4"/>
    <x v="329"/>
    <x v="325"/>
  </r>
  <r>
    <x v="1"/>
    <x v="0"/>
    <x v="1"/>
    <x v="2"/>
    <x v="330"/>
    <x v="326"/>
  </r>
  <r>
    <x v="1"/>
    <x v="1"/>
    <x v="1"/>
    <x v="2"/>
    <x v="331"/>
    <x v="327"/>
  </r>
  <r>
    <x v="1"/>
    <x v="2"/>
    <x v="1"/>
    <x v="2"/>
    <x v="332"/>
    <x v="328"/>
  </r>
  <r>
    <x v="1"/>
    <x v="3"/>
    <x v="1"/>
    <x v="2"/>
    <x v="333"/>
    <x v="329"/>
  </r>
  <r>
    <x v="1"/>
    <x v="4"/>
    <x v="1"/>
    <x v="2"/>
    <x v="334"/>
    <x v="330"/>
  </r>
  <r>
    <x v="1"/>
    <x v="5"/>
    <x v="1"/>
    <x v="2"/>
    <x v="335"/>
    <x v="331"/>
  </r>
  <r>
    <x v="1"/>
    <x v="6"/>
    <x v="1"/>
    <x v="2"/>
    <x v="336"/>
    <x v="332"/>
  </r>
  <r>
    <x v="1"/>
    <x v="7"/>
    <x v="1"/>
    <x v="2"/>
    <x v="337"/>
    <x v="333"/>
  </r>
  <r>
    <x v="1"/>
    <x v="8"/>
    <x v="1"/>
    <x v="2"/>
    <x v="338"/>
    <x v="334"/>
  </r>
  <r>
    <x v="1"/>
    <x v="9"/>
    <x v="1"/>
    <x v="2"/>
    <x v="339"/>
    <x v="335"/>
  </r>
  <r>
    <x v="1"/>
    <x v="0"/>
    <x v="1"/>
    <x v="3"/>
    <x v="340"/>
    <x v="336"/>
  </r>
  <r>
    <x v="1"/>
    <x v="1"/>
    <x v="1"/>
    <x v="3"/>
    <x v="341"/>
    <x v="337"/>
  </r>
  <r>
    <x v="1"/>
    <x v="2"/>
    <x v="1"/>
    <x v="3"/>
    <x v="342"/>
    <x v="338"/>
  </r>
  <r>
    <x v="1"/>
    <x v="3"/>
    <x v="1"/>
    <x v="3"/>
    <x v="343"/>
    <x v="339"/>
  </r>
  <r>
    <x v="1"/>
    <x v="4"/>
    <x v="1"/>
    <x v="3"/>
    <x v="344"/>
    <x v="340"/>
  </r>
  <r>
    <x v="1"/>
    <x v="5"/>
    <x v="1"/>
    <x v="3"/>
    <x v="345"/>
    <x v="341"/>
  </r>
  <r>
    <x v="1"/>
    <x v="6"/>
    <x v="1"/>
    <x v="3"/>
    <x v="346"/>
    <x v="342"/>
  </r>
  <r>
    <x v="1"/>
    <x v="7"/>
    <x v="1"/>
    <x v="3"/>
    <x v="347"/>
    <x v="343"/>
  </r>
  <r>
    <x v="1"/>
    <x v="8"/>
    <x v="1"/>
    <x v="3"/>
    <x v="348"/>
    <x v="344"/>
  </r>
  <r>
    <x v="1"/>
    <x v="9"/>
    <x v="1"/>
    <x v="3"/>
    <x v="349"/>
    <x v="345"/>
  </r>
  <r>
    <x v="1"/>
    <x v="0"/>
    <x v="1"/>
    <x v="1"/>
    <x v="350"/>
    <x v="346"/>
  </r>
  <r>
    <x v="1"/>
    <x v="1"/>
    <x v="1"/>
    <x v="1"/>
    <x v="351"/>
    <x v="347"/>
  </r>
  <r>
    <x v="1"/>
    <x v="2"/>
    <x v="1"/>
    <x v="1"/>
    <x v="352"/>
    <x v="348"/>
  </r>
  <r>
    <x v="1"/>
    <x v="3"/>
    <x v="1"/>
    <x v="1"/>
    <x v="353"/>
    <x v="349"/>
  </r>
  <r>
    <x v="1"/>
    <x v="4"/>
    <x v="1"/>
    <x v="1"/>
    <x v="354"/>
    <x v="350"/>
  </r>
  <r>
    <x v="1"/>
    <x v="5"/>
    <x v="1"/>
    <x v="1"/>
    <x v="355"/>
    <x v="351"/>
  </r>
  <r>
    <x v="1"/>
    <x v="6"/>
    <x v="1"/>
    <x v="1"/>
    <x v="356"/>
    <x v="352"/>
  </r>
  <r>
    <x v="1"/>
    <x v="7"/>
    <x v="1"/>
    <x v="1"/>
    <x v="357"/>
    <x v="353"/>
  </r>
  <r>
    <x v="1"/>
    <x v="8"/>
    <x v="1"/>
    <x v="1"/>
    <x v="358"/>
    <x v="354"/>
  </r>
  <r>
    <x v="1"/>
    <x v="9"/>
    <x v="1"/>
    <x v="1"/>
    <x v="359"/>
    <x v="355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1"/>
    <x v="10"/>
    <x v="3"/>
    <x v="5"/>
    <x v="0"/>
    <x v="0"/>
  </r>
  <r>
    <x v="2"/>
    <x v="11"/>
    <x v="4"/>
    <x v="6"/>
    <x v="360"/>
    <x v="3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Chinook Salmon"/>
    <x v="0"/>
    <n v="30222"/>
    <n v="620626.83900000004"/>
    <n v="0.52"/>
    <n v="15715.44"/>
  </r>
  <r>
    <x v="0"/>
    <s v="Chinook Salmon"/>
    <x v="1"/>
    <n v="14764"/>
    <n v="303180.76919999998"/>
    <n v="0.52"/>
    <n v="7677.2800000000007"/>
  </r>
  <r>
    <x v="0"/>
    <s v="Chinook Salmon"/>
    <x v="2"/>
    <n v="15669"/>
    <n v="260837.62469999999"/>
    <n v="0.52"/>
    <n v="8147.88"/>
  </r>
  <r>
    <x v="0"/>
    <s v="Chinook Salmon"/>
    <x v="3"/>
    <n v="15531"/>
    <n v="267525.01459999999"/>
    <n v="0.52"/>
    <n v="8076.12"/>
  </r>
  <r>
    <x v="0"/>
    <s v="Chinook Salmon"/>
    <x v="4"/>
    <n v="34194"/>
    <n v="589024.3517"/>
    <n v="0.52"/>
    <n v="17780.88"/>
  </r>
  <r>
    <x v="0"/>
    <s v="Chinook Salmon"/>
    <x v="5"/>
    <n v="23192"/>
    <n v="420544.5172"/>
    <n v="0.52"/>
    <n v="12059.84"/>
  </r>
  <r>
    <x v="0"/>
    <s v="Chinook Salmon"/>
    <x v="6"/>
    <n v="22400"/>
    <n v="471913.77830000001"/>
    <n v="0.52"/>
    <n v="11648"/>
  </r>
  <r>
    <x v="0"/>
    <s v="Chinook Salmon"/>
    <x v="7"/>
    <n v="11937"/>
    <n v="185792.48480000001"/>
    <n v="0.52"/>
    <n v="6207.24"/>
  </r>
  <r>
    <x v="0"/>
    <s v="Chinook Salmon"/>
    <x v="8"/>
    <n v="23367"/>
    <n v="427114.33500000002"/>
    <n v="0.52"/>
    <n v="12150.84"/>
  </r>
  <r>
    <x v="0"/>
    <s v="Chinook Salmon"/>
    <x v="9"/>
    <n v="10188"/>
    <n v="134246.19209999999"/>
    <n v="0.52"/>
    <n v="5297.76"/>
  </r>
  <r>
    <x v="0"/>
    <s v="Chum Salmon"/>
    <x v="0"/>
    <n v="2075061"/>
    <n v="15242709.586100001"/>
    <n v="0.08"/>
    <n v="166004.88"/>
  </r>
  <r>
    <x v="0"/>
    <s v="Chum Salmon"/>
    <x v="1"/>
    <n v="4143735"/>
    <n v="29831634.3816"/>
    <n v="0.08"/>
    <n v="331498.8"/>
  </r>
  <r>
    <x v="0"/>
    <s v="Chum Salmon"/>
    <x v="2"/>
    <n v="4264104.9800000004"/>
    <n v="31773036.720199998"/>
    <n v="0.08"/>
    <n v="341128.39840000006"/>
  </r>
  <r>
    <x v="0"/>
    <s v="Chum Salmon"/>
    <x v="3"/>
    <n v="1706745"/>
    <n v="13021967.7707"/>
    <n v="0.08"/>
    <n v="136539.6"/>
  </r>
  <r>
    <x v="0"/>
    <s v="Chum Salmon"/>
    <x v="4"/>
    <n v="2900187"/>
    <n v="18080004.0088"/>
    <n v="0.08"/>
    <n v="232014.96"/>
  </r>
  <r>
    <x v="0"/>
    <s v="Chum Salmon"/>
    <x v="5"/>
    <n v="3368157"/>
    <n v="23474818.795499999"/>
    <n v="0.08"/>
    <n v="269452.56"/>
  </r>
  <r>
    <x v="0"/>
    <s v="Chum Salmon"/>
    <x v="6"/>
    <n v="5832649"/>
    <n v="44290753.067199998"/>
    <n v="0.08"/>
    <n v="466611.92"/>
  </r>
  <r>
    <x v="0"/>
    <s v="Chum Salmon"/>
    <x v="7"/>
    <n v="3632471"/>
    <n v="30344026.861200001"/>
    <n v="0.08"/>
    <n v="290597.68"/>
  </r>
  <r>
    <x v="0"/>
    <s v="Chum Salmon"/>
    <x v="8"/>
    <n v="5566420"/>
    <n v="34626290.460900001"/>
    <n v="0.08"/>
    <n v="445313.60000000003"/>
  </r>
  <r>
    <x v="0"/>
    <s v="Chum Salmon"/>
    <x v="9"/>
    <n v="2062606"/>
    <n v="15439299.9871"/>
    <n v="0.08"/>
    <n v="165008.48000000001"/>
  </r>
  <r>
    <x v="0"/>
    <s v="Coho Salmon"/>
    <x v="0"/>
    <n v="465955"/>
    <n v="3188543.2307000002"/>
    <n v="0.64"/>
    <n v="298211.20000000001"/>
  </r>
  <r>
    <x v="0"/>
    <s v="Coho Salmon"/>
    <x v="1"/>
    <n v="316579"/>
    <n v="2350273.5517000002"/>
    <n v="0.64"/>
    <n v="202610.56"/>
  </r>
  <r>
    <x v="0"/>
    <s v="Coho Salmon"/>
    <x v="2"/>
    <n v="886027"/>
    <n v="6569246.6827999996"/>
    <n v="0.64"/>
    <n v="567057.28"/>
  </r>
  <r>
    <x v="0"/>
    <s v="Coho Salmon"/>
    <x v="3"/>
    <n v="751083"/>
    <n v="5835139.5614"/>
    <n v="0.64"/>
    <n v="480693.12"/>
  </r>
  <r>
    <x v="0"/>
    <s v="Coho Salmon"/>
    <x v="4"/>
    <n v="442106"/>
    <n v="2871770.7094999999"/>
    <n v="0.64"/>
    <n v="282947.84000000003"/>
  </r>
  <r>
    <x v="0"/>
    <s v="Coho Salmon"/>
    <x v="5"/>
    <n v="629415"/>
    <n v="5356469.0740999999"/>
    <n v="0.64"/>
    <n v="402825.60000000003"/>
  </r>
  <r>
    <x v="0"/>
    <s v="Coho Salmon"/>
    <x v="6"/>
    <n v="872302"/>
    <n v="6552311.3361"/>
    <n v="0.64"/>
    <n v="558273.28000000003"/>
  </r>
  <r>
    <x v="0"/>
    <s v="Coho Salmon"/>
    <x v="7"/>
    <n v="769089"/>
    <n v="6177614.9076000005"/>
    <n v="0.64"/>
    <n v="492216.96"/>
  </r>
  <r>
    <x v="0"/>
    <s v="Coho Salmon"/>
    <x v="8"/>
    <n v="701182"/>
    <n v="5318938.8520999998"/>
    <n v="0.64"/>
    <n v="448756.47999999998"/>
  </r>
  <r>
    <x v="0"/>
    <s v="Coho Salmon"/>
    <x v="9"/>
    <n v="430063"/>
    <n v="3243531.1458000001"/>
    <n v="0.64"/>
    <n v="275240.32000000001"/>
  </r>
  <r>
    <x v="0"/>
    <s v="Pink Salmon"/>
    <x v="0"/>
    <n v="33790374"/>
    <n v="101001525.7251"/>
    <n v="0.14000000000000001"/>
    <n v="4730652.3600000003"/>
  </r>
  <r>
    <x v="0"/>
    <s v="Pink Salmon"/>
    <x v="1"/>
    <n v="27958435"/>
    <n v="109688378.65459999"/>
    <n v="0.14000000000000001"/>
    <n v="3914180.9000000004"/>
  </r>
  <r>
    <x v="0"/>
    <s v="Pink Salmon"/>
    <x v="2"/>
    <n v="94628666"/>
    <n v="263097427.2105"/>
    <n v="0.14000000000000001"/>
    <n v="13248013.240000002"/>
  </r>
  <r>
    <x v="0"/>
    <s v="Pink Salmon"/>
    <x v="3"/>
    <n v="45573508"/>
    <n v="152527729.78350002"/>
    <n v="0.14000000000000001"/>
    <n v="6380291.120000001"/>
  </r>
  <r>
    <x v="0"/>
    <s v="Pink Salmon"/>
    <x v="4"/>
    <n v="103768913"/>
    <n v="347362504.1566"/>
    <n v="0.14000000000000001"/>
    <n v="14527647.820000002"/>
  </r>
  <r>
    <x v="0"/>
    <s v="Pink Salmon"/>
    <x v="5"/>
    <n v="13579628"/>
    <n v="54087125.126000002"/>
    <n v="0.14000000000000001"/>
    <n v="1901147.9200000002"/>
  </r>
  <r>
    <x v="0"/>
    <s v="Pink Salmon"/>
    <x v="6"/>
    <n v="50775516"/>
    <n v="195382200.95590001"/>
    <n v="0.14000000000000001"/>
    <n v="7108572.2400000002"/>
  </r>
  <r>
    <x v="0"/>
    <s v="Pink Salmon"/>
    <x v="7"/>
    <n v="25720726"/>
    <n v="97365377.466600001"/>
    <n v="0.14000000000000001"/>
    <n v="3600901.64"/>
  </r>
  <r>
    <x v="0"/>
    <s v="Pink Salmon"/>
    <x v="8"/>
    <n v="50847293"/>
    <n v="174094479.54159999"/>
    <n v="0.14000000000000001"/>
    <n v="7118621.0200000005"/>
  </r>
  <r>
    <x v="0"/>
    <s v="Pink Salmon"/>
    <x v="9"/>
    <n v="25873302"/>
    <n v="93463812.864099994"/>
    <n v="0.14000000000000001"/>
    <n v="3622262.2800000003"/>
  </r>
  <r>
    <x v="0"/>
    <s v="Sockeye Salmon"/>
    <x v="0"/>
    <n v="9199360"/>
    <n v="58076032.1734"/>
    <n v="0.12"/>
    <n v="1103923.2"/>
  </r>
  <r>
    <x v="0"/>
    <s v="Sockeye Salmon"/>
    <x v="1"/>
    <n v="7018164"/>
    <n v="47389172.501400001"/>
    <n v="0.12"/>
    <n v="842179.67999999993"/>
  </r>
  <r>
    <x v="0"/>
    <s v="Sockeye Salmon"/>
    <x v="2"/>
    <n v="5177824"/>
    <n v="32072165.0748"/>
    <n v="0.12"/>
    <n v="621338.88"/>
  </r>
  <r>
    <x v="0"/>
    <s v="Sockeye Salmon"/>
    <x v="3"/>
    <n v="5905429"/>
    <n v="35615655.304499999"/>
    <n v="0.12"/>
    <n v="708651.48"/>
  </r>
  <r>
    <x v="0"/>
    <s v="Sockeye Salmon"/>
    <x v="4"/>
    <n v="6098557"/>
    <n v="32645503.261799999"/>
    <n v="0.12"/>
    <n v="731826.84"/>
  </r>
  <r>
    <x v="0"/>
    <s v="Sockeye Salmon"/>
    <x v="5"/>
    <n v="4633775"/>
    <n v="25655865.552999999"/>
    <n v="0.12"/>
    <n v="556053"/>
  </r>
  <r>
    <x v="0"/>
    <s v="Sockeye Salmon"/>
    <x v="6"/>
    <n v="3570477"/>
    <n v="20204445.315900002"/>
    <n v="0.12"/>
    <n v="428457.24"/>
  </r>
  <r>
    <x v="0"/>
    <s v="Sockeye Salmon"/>
    <x v="7"/>
    <n v="2497423"/>
    <n v="11832648.230799999"/>
    <n v="0.12"/>
    <n v="299690.76"/>
  </r>
  <r>
    <x v="0"/>
    <s v="Sockeye Salmon"/>
    <x v="8"/>
    <n v="4620512"/>
    <n v="25056698.7337"/>
    <n v="0.12"/>
    <n v="554461.43999999994"/>
  </r>
  <r>
    <x v="0"/>
    <s v="Sockeye Salmon"/>
    <x v="9"/>
    <n v="1860317"/>
    <n v="8741830.3364000004"/>
    <n v="0.12"/>
    <n v="223238.03999999998"/>
  </r>
  <r>
    <x v="1"/>
    <s v="Chinook Salmon"/>
    <x v="0"/>
    <n v="342672"/>
    <n v="5134051.4840000002"/>
    <n v="7.0000000000000007E-2"/>
    <n v="23987.040000000001"/>
  </r>
  <r>
    <x v="1"/>
    <s v="Chinook Salmon"/>
    <x v="1"/>
    <n v="275738"/>
    <n v="4063201.5443000002"/>
    <n v="7.0000000000000007E-2"/>
    <n v="19301.660000000003"/>
  </r>
  <r>
    <x v="1"/>
    <s v="Chinook Salmon"/>
    <x v="2"/>
    <n v="247213"/>
    <n v="3578904.7765000002"/>
    <n v="7.0000000000000007E-2"/>
    <n v="17304.91"/>
  </r>
  <r>
    <x v="1"/>
    <s v="Chinook Salmon"/>
    <x v="3"/>
    <n v="436936"/>
    <n v="6010208.7914000005"/>
    <n v="7.0000000000000007E-2"/>
    <n v="30585.520000000004"/>
  </r>
  <r>
    <x v="1"/>
    <s v="Chinook Salmon"/>
    <x v="4"/>
    <n v="354496"/>
    <n v="4821152.2655999996"/>
    <n v="7.0000000000000007E-2"/>
    <n v="24814.720000000001"/>
  </r>
  <r>
    <x v="1"/>
    <s v="Chinook Salmon"/>
    <x v="5"/>
    <n v="312124"/>
    <n v="4203564.5952000003"/>
    <n v="7.0000000000000007E-2"/>
    <n v="21848.68"/>
  </r>
  <r>
    <x v="1"/>
    <s v="Chinook Salmon"/>
    <x v="6"/>
    <n v="173427"/>
    <n v="2232894.3849999998"/>
    <n v="7.0000000000000007E-2"/>
    <n v="12139.890000000001"/>
  </r>
  <r>
    <x v="1"/>
    <s v="Chinook Salmon"/>
    <x v="7"/>
    <n v="164048"/>
    <n v="2262431.3075000001"/>
    <n v="7.0000000000000007E-2"/>
    <n v="11483.36"/>
  </r>
  <r>
    <x v="1"/>
    <s v="Chinook Salmon"/>
    <x v="8"/>
    <n v="184447"/>
    <n v="2462002.452"/>
    <n v="7.0000000000000007E-2"/>
    <n v="12911.29"/>
  </r>
  <r>
    <x v="1"/>
    <s v="Chinook Salmon"/>
    <x v="9"/>
    <n v="209503"/>
    <n v="2880044.2694000001"/>
    <n v="7.0000000000000007E-2"/>
    <n v="14665.210000000001"/>
  </r>
  <r>
    <x v="1"/>
    <s v="Chum Salmon"/>
    <x v="0"/>
    <n v="10729152"/>
    <n v="82056422.493399993"/>
    <n v="0.17"/>
    <n v="1823955.84"/>
  </r>
  <r>
    <x v="1"/>
    <s v="Chum Salmon"/>
    <x v="1"/>
    <n v="12369065"/>
    <n v="112815596.87980001"/>
    <n v="0.17"/>
    <n v="2102741.0500000003"/>
  </r>
  <r>
    <x v="1"/>
    <s v="Chum Salmon"/>
    <x v="2"/>
    <n v="12570521.5"/>
    <n v="98215525.815599993"/>
    <n v="0.17"/>
    <n v="2136988.6550000003"/>
  </r>
  <r>
    <x v="1"/>
    <s v="Chum Salmon"/>
    <x v="3"/>
    <n v="6678435.7999999998"/>
    <n v="60738294.9815"/>
    <n v="0.17"/>
    <n v="1135334.0860000001"/>
  </r>
  <r>
    <x v="1"/>
    <s v="Chum Salmon"/>
    <x v="4"/>
    <n v="11626457"/>
    <n v="95305565.954500005"/>
    <n v="0.17"/>
    <n v="1976497.6900000002"/>
  </r>
  <r>
    <x v="1"/>
    <s v="Chum Salmon"/>
    <x v="5"/>
    <n v="9115620"/>
    <n v="73424433.314899996"/>
    <n v="0.17"/>
    <n v="1549655.4000000001"/>
  </r>
  <r>
    <x v="1"/>
    <s v="Chum Salmon"/>
    <x v="6"/>
    <n v="11426914"/>
    <n v="95443819.660699993"/>
    <n v="0.17"/>
    <n v="1942575.3800000001"/>
  </r>
  <r>
    <x v="1"/>
    <s v="Chum Salmon"/>
    <x v="7"/>
    <n v="11482406"/>
    <n v="96668837.715499997"/>
    <n v="0.17"/>
    <n v="1952009.0200000003"/>
  </r>
  <r>
    <x v="1"/>
    <s v="Chum Salmon"/>
    <x v="8"/>
    <n v="9374706"/>
    <n v="74662109.917999998"/>
    <n v="0.17"/>
    <n v="1593700.02"/>
  </r>
  <r>
    <x v="1"/>
    <s v="Chum Salmon"/>
    <x v="9"/>
    <n v="4676449"/>
    <n v="34978968.268700004"/>
    <n v="0.17"/>
    <n v="794996.33000000007"/>
  </r>
  <r>
    <x v="1"/>
    <s v="Coho Salmon"/>
    <x v="0"/>
    <n v="2304408"/>
    <n v="14567462.6131"/>
    <n v="0.69"/>
    <n v="1590041.5199999998"/>
  </r>
  <r>
    <x v="1"/>
    <s v="Coho Salmon"/>
    <x v="1"/>
    <n v="2083871"/>
    <n v="14101885.5693"/>
    <n v="0.69"/>
    <n v="1437870.99"/>
  </r>
  <r>
    <x v="1"/>
    <s v="Coho Salmon"/>
    <x v="2"/>
    <n v="3873514"/>
    <n v="25117928.4848"/>
    <n v="0.69"/>
    <n v="2672724.6599999997"/>
  </r>
  <r>
    <x v="1"/>
    <s v="Coho Salmon"/>
    <x v="3"/>
    <n v="3789405"/>
    <n v="28280543.669"/>
    <n v="0.69"/>
    <n v="2614689.4499999997"/>
  </r>
  <r>
    <x v="1"/>
    <s v="Coho Salmon"/>
    <x v="4"/>
    <n v="2158670"/>
    <n v="15030282.0394"/>
    <n v="0.69"/>
    <n v="1489482.2999999998"/>
  </r>
  <r>
    <x v="1"/>
    <s v="Coho Salmon"/>
    <x v="5"/>
    <n v="2327503"/>
    <n v="17091906.1461"/>
    <n v="0.69"/>
    <n v="1605977.0699999998"/>
  </r>
  <r>
    <x v="1"/>
    <s v="Coho Salmon"/>
    <x v="6"/>
    <n v="2873620"/>
    <n v="17715571.562899999"/>
    <n v="0.69"/>
    <n v="1982797.7999999998"/>
  </r>
  <r>
    <x v="1"/>
    <s v="Coho Salmon"/>
    <x v="7"/>
    <n v="1602466"/>
    <n v="12790127.4691"/>
    <n v="0.69"/>
    <n v="1105701.5399999998"/>
  </r>
  <r>
    <x v="1"/>
    <s v="Coho Salmon"/>
    <x v="8"/>
    <n v="1712692"/>
    <n v="12521430.346799999"/>
    <n v="0.69"/>
    <n v="1181757.48"/>
  </r>
  <r>
    <x v="1"/>
    <s v="Coho Salmon"/>
    <x v="9"/>
    <n v="1159279"/>
    <n v="7961636.6580999997"/>
    <n v="0.69"/>
    <n v="799902.50999999989"/>
  </r>
  <r>
    <x v="1"/>
    <s v="Pink Salmon"/>
    <x v="0"/>
    <n v="59079411"/>
    <n v="219187889.64340001"/>
    <n v="0.98"/>
    <n v="57897822.780000001"/>
  </r>
  <r>
    <x v="1"/>
    <s v="Pink Salmon"/>
    <x v="1"/>
    <n v="21302122"/>
    <n v="76150042.148800001"/>
    <n v="0.98"/>
    <n v="20876079.559999999"/>
  </r>
  <r>
    <x v="1"/>
    <s v="Pink Salmon"/>
    <x v="2"/>
    <n v="94779875"/>
    <n v="304977147.74809998"/>
    <n v="0.98"/>
    <n v="92884277.5"/>
  </r>
  <r>
    <x v="1"/>
    <s v="Pink Salmon"/>
    <x v="3"/>
    <n v="37186408.700000003"/>
    <n v="131434182.6065"/>
    <n v="0.98"/>
    <n v="36442680.526000001"/>
  </r>
  <r>
    <x v="1"/>
    <s v="Pink Salmon"/>
    <x v="4"/>
    <n v="35151092"/>
    <n v="128041037.2156"/>
    <n v="0.98"/>
    <n v="34448070.159999996"/>
  </r>
  <r>
    <x v="1"/>
    <s v="Pink Salmon"/>
    <x v="5"/>
    <n v="18385506"/>
    <n v="72636869.965900004"/>
    <n v="0.98"/>
    <n v="18017795.879999999"/>
  </r>
  <r>
    <x v="1"/>
    <s v="Pink Salmon"/>
    <x v="6"/>
    <n v="34801951"/>
    <n v="128042103.1168"/>
    <n v="0.98"/>
    <n v="34105911.979999997"/>
  </r>
  <r>
    <x v="1"/>
    <s v="Pink Salmon"/>
    <x v="7"/>
    <n v="8082745"/>
    <n v="31280263.6567"/>
    <n v="0.98"/>
    <n v="7921090.0999999996"/>
  </r>
  <r>
    <x v="1"/>
    <s v="Pink Salmon"/>
    <x v="8"/>
    <n v="21149905"/>
    <n v="78026222.923099995"/>
    <n v="0.98"/>
    <n v="20726906.899999999"/>
  </r>
  <r>
    <x v="1"/>
    <s v="Pink Salmon"/>
    <x v="9"/>
    <n v="8058812"/>
    <n v="28362474.936999999"/>
    <n v="0.98"/>
    <n v="7897635.7599999998"/>
  </r>
  <r>
    <x v="1"/>
    <s v="Sockeye Salmon"/>
    <x v="0"/>
    <n v="1235374"/>
    <n v="7519472.2565000001"/>
    <n v="0.28999999999999998"/>
    <n v="358258.45999999996"/>
  </r>
  <r>
    <x v="1"/>
    <s v="Sockeye Salmon"/>
    <x v="1"/>
    <n v="944142.6"/>
    <n v="5928805.7192000002"/>
    <n v="0.28999999999999998"/>
    <n v="273801.35399999999"/>
  </r>
  <r>
    <x v="1"/>
    <s v="Sockeye Salmon"/>
    <x v="2"/>
    <n v="970397"/>
    <n v="5869230.7194999997"/>
    <n v="0.28999999999999998"/>
    <n v="281415.13"/>
  </r>
  <r>
    <x v="1"/>
    <s v="Sockeye Salmon"/>
    <x v="3"/>
    <n v="1663861"/>
    <n v="9742558.3233000003"/>
    <n v="0.28999999999999998"/>
    <n v="482519.68999999994"/>
  </r>
  <r>
    <x v="1"/>
    <s v="Sockeye Salmon"/>
    <x v="4"/>
    <n v="1523912"/>
    <n v="8467832.0885000005"/>
    <n v="0.28999999999999998"/>
    <n v="441934.48"/>
  </r>
  <r>
    <x v="1"/>
    <s v="Sockeye Salmon"/>
    <x v="5"/>
    <n v="1500683"/>
    <n v="8524952.0404000003"/>
    <n v="0.28999999999999998"/>
    <n v="435198.06999999995"/>
  </r>
  <r>
    <x v="1"/>
    <s v="Sockeye Salmon"/>
    <x v="6"/>
    <n v="796607"/>
    <n v="4496960.2482000003"/>
    <n v="0.28999999999999998"/>
    <n v="231016.02999999997"/>
  </r>
  <r>
    <x v="1"/>
    <s v="Sockeye Salmon"/>
    <x v="7"/>
    <n v="631675"/>
    <n v="3388430.6072999998"/>
    <n v="0.28999999999999998"/>
    <n v="183185.75"/>
  </r>
  <r>
    <x v="1"/>
    <s v="Sockeye Salmon"/>
    <x v="8"/>
    <n v="1005692"/>
    <n v="5621492.5110999998"/>
    <n v="0.28999999999999998"/>
    <n v="291650.68"/>
  </r>
  <r>
    <x v="1"/>
    <s v="Sockeye Salmon"/>
    <x v="9"/>
    <n v="453021"/>
    <n v="2342837.5060999999"/>
    <n v="0.28999999999999998"/>
    <n v="131376.09"/>
  </r>
  <r>
    <x v="2"/>
    <m/>
    <x v="10"/>
    <m/>
    <m/>
    <m/>
    <m/>
  </r>
  <r>
    <x v="2"/>
    <m/>
    <x v="10"/>
    <m/>
    <m/>
    <m/>
    <m/>
  </r>
  <r>
    <x v="2"/>
    <m/>
    <x v="1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hugach"/>
    <x v="0"/>
    <s v="2011"/>
    <n v="30222"/>
    <n v="620626.83900000004"/>
    <n v="0.52"/>
    <n v="15715.44"/>
  </r>
  <r>
    <s v="Chugach"/>
    <x v="0"/>
    <s v="2012"/>
    <n v="14764"/>
    <n v="303180.76919999998"/>
    <n v="0.52"/>
    <n v="7677.2800000000007"/>
  </r>
  <r>
    <s v="Chugach"/>
    <x v="0"/>
    <s v="2013"/>
    <n v="15669"/>
    <n v="260837.62469999999"/>
    <n v="0.52"/>
    <n v="8147.88"/>
  </r>
  <r>
    <s v="Chugach"/>
    <x v="0"/>
    <s v="2014"/>
    <n v="15531"/>
    <n v="267525.01459999999"/>
    <n v="0.52"/>
    <n v="8076.12"/>
  </r>
  <r>
    <s v="Chugach"/>
    <x v="0"/>
    <s v="2015"/>
    <n v="34194"/>
    <n v="589024.3517"/>
    <n v="0.52"/>
    <n v="17780.88"/>
  </r>
  <r>
    <s v="Chugach"/>
    <x v="0"/>
    <s v="2016"/>
    <n v="23192"/>
    <n v="420544.5172"/>
    <n v="0.52"/>
    <n v="12059.84"/>
  </r>
  <r>
    <s v="Chugach"/>
    <x v="0"/>
    <s v="2017"/>
    <n v="22400"/>
    <n v="471913.77830000001"/>
    <n v="0.52"/>
    <n v="11648"/>
  </r>
  <r>
    <s v="Chugach"/>
    <x v="0"/>
    <s v="2018"/>
    <n v="11937"/>
    <n v="185792.48480000001"/>
    <n v="0.52"/>
    <n v="6207.24"/>
  </r>
  <r>
    <s v="Chugach"/>
    <x v="0"/>
    <s v="2019"/>
    <n v="23367"/>
    <n v="427114.33500000002"/>
    <n v="0.52"/>
    <n v="12150.84"/>
  </r>
  <r>
    <s v="Chugach"/>
    <x v="0"/>
    <s v="2020"/>
    <n v="10188"/>
    <n v="134246.19209999999"/>
    <n v="0.52"/>
    <n v="5297.76"/>
  </r>
  <r>
    <s v="Chugach"/>
    <x v="1"/>
    <s v="2011"/>
    <n v="2075061"/>
    <n v="15242709.586100001"/>
    <n v="0.08"/>
    <n v="166004.88"/>
  </r>
  <r>
    <s v="Chugach"/>
    <x v="1"/>
    <s v="2012"/>
    <n v="4143735"/>
    <n v="29831634.3816"/>
    <n v="0.08"/>
    <n v="331498.8"/>
  </r>
  <r>
    <s v="Chugach"/>
    <x v="1"/>
    <s v="2013"/>
    <n v="4264104.9800000004"/>
    <n v="31773036.720199998"/>
    <n v="0.08"/>
    <n v="341128.39840000006"/>
  </r>
  <r>
    <s v="Chugach"/>
    <x v="1"/>
    <s v="2014"/>
    <n v="1706745"/>
    <n v="13021967.7707"/>
    <n v="0.08"/>
    <n v="136539.6"/>
  </r>
  <r>
    <s v="Chugach"/>
    <x v="1"/>
    <s v="2015"/>
    <n v="2900187"/>
    <n v="18080004.0088"/>
    <n v="0.08"/>
    <n v="232014.96"/>
  </r>
  <r>
    <s v="Chugach"/>
    <x v="1"/>
    <s v="2016"/>
    <n v="3368157"/>
    <n v="23474818.795499999"/>
    <n v="0.08"/>
    <n v="269452.56"/>
  </r>
  <r>
    <s v="Chugach"/>
    <x v="1"/>
    <s v="2017"/>
    <n v="5832649"/>
    <n v="44290753.067199998"/>
    <n v="0.08"/>
    <n v="466611.92"/>
  </r>
  <r>
    <s v="Chugach"/>
    <x v="1"/>
    <s v="2018"/>
    <n v="3632471"/>
    <n v="30344026.861200001"/>
    <n v="0.08"/>
    <n v="290597.68"/>
  </r>
  <r>
    <s v="Chugach"/>
    <x v="1"/>
    <s v="2019"/>
    <n v="5566420"/>
    <n v="34626290.460900001"/>
    <n v="0.08"/>
    <n v="445313.60000000003"/>
  </r>
  <r>
    <s v="Chugach"/>
    <x v="1"/>
    <s v="2020"/>
    <n v="2062606"/>
    <n v="15439299.9871"/>
    <n v="0.08"/>
    <n v="165008.48000000001"/>
  </r>
  <r>
    <s v="Chugach"/>
    <x v="2"/>
    <s v="2011"/>
    <n v="465955"/>
    <n v="3188543.2307000002"/>
    <n v="0.64"/>
    <n v="298211.20000000001"/>
  </r>
  <r>
    <s v="Chugach"/>
    <x v="2"/>
    <s v="2012"/>
    <n v="316579"/>
    <n v="2350273.5517000002"/>
    <n v="0.64"/>
    <n v="202610.56"/>
  </r>
  <r>
    <s v="Chugach"/>
    <x v="2"/>
    <s v="2013"/>
    <n v="886027"/>
    <n v="6569246.6827999996"/>
    <n v="0.64"/>
    <n v="567057.28"/>
  </r>
  <r>
    <s v="Chugach"/>
    <x v="2"/>
    <s v="2014"/>
    <n v="751083"/>
    <n v="5835139.5614"/>
    <n v="0.64"/>
    <n v="480693.12"/>
  </r>
  <r>
    <s v="Chugach"/>
    <x v="2"/>
    <s v="2015"/>
    <n v="442106"/>
    <n v="2871770.7094999999"/>
    <n v="0.64"/>
    <n v="282947.84000000003"/>
  </r>
  <r>
    <s v="Chugach"/>
    <x v="2"/>
    <s v="2016"/>
    <n v="629415"/>
    <n v="5356469.0740999999"/>
    <n v="0.64"/>
    <n v="402825.60000000003"/>
  </r>
  <r>
    <s v="Chugach"/>
    <x v="2"/>
    <s v="2017"/>
    <n v="872302"/>
    <n v="6552311.3361"/>
    <n v="0.64"/>
    <n v="558273.28000000003"/>
  </r>
  <r>
    <s v="Chugach"/>
    <x v="2"/>
    <s v="2018"/>
    <n v="769089"/>
    <n v="6177614.9076000005"/>
    <n v="0.64"/>
    <n v="492216.96"/>
  </r>
  <r>
    <s v="Chugach"/>
    <x v="2"/>
    <s v="2019"/>
    <n v="701182"/>
    <n v="5318938.8520999998"/>
    <n v="0.64"/>
    <n v="448756.47999999998"/>
  </r>
  <r>
    <s v="Chugach"/>
    <x v="2"/>
    <s v="2020"/>
    <n v="430063"/>
    <n v="3243531.1458000001"/>
    <n v="0.64"/>
    <n v="275240.32000000001"/>
  </r>
  <r>
    <s v="Chugach"/>
    <x v="3"/>
    <s v="2011"/>
    <n v="33790374"/>
    <n v="101001525.7251"/>
    <n v="0.14000000000000001"/>
    <n v="4730652.3600000003"/>
  </r>
  <r>
    <s v="Chugach"/>
    <x v="3"/>
    <s v="2012"/>
    <n v="27958435"/>
    <n v="109688378.65459999"/>
    <n v="0.14000000000000001"/>
    <n v="3914180.9000000004"/>
  </r>
  <r>
    <s v="Chugach"/>
    <x v="3"/>
    <s v="2013"/>
    <n v="94628666"/>
    <n v="263097427.2105"/>
    <n v="0.14000000000000001"/>
    <n v="13248013.240000002"/>
  </r>
  <r>
    <s v="Chugach"/>
    <x v="3"/>
    <s v="2014"/>
    <n v="45573508"/>
    <n v="152527729.78350002"/>
    <n v="0.14000000000000001"/>
    <n v="6380291.120000001"/>
  </r>
  <r>
    <s v="Chugach"/>
    <x v="3"/>
    <s v="2015"/>
    <n v="103768913"/>
    <n v="347362504.1566"/>
    <n v="0.14000000000000001"/>
    <n v="14527647.820000002"/>
  </r>
  <r>
    <s v="Chugach"/>
    <x v="3"/>
    <s v="2016"/>
    <n v="13579628"/>
    <n v="54087125.126000002"/>
    <n v="0.14000000000000001"/>
    <n v="1901147.9200000002"/>
  </r>
  <r>
    <s v="Chugach"/>
    <x v="3"/>
    <s v="2017"/>
    <n v="50775516"/>
    <n v="195382200.95590001"/>
    <n v="0.14000000000000001"/>
    <n v="7108572.2400000002"/>
  </r>
  <r>
    <s v="Chugach"/>
    <x v="3"/>
    <s v="2018"/>
    <n v="25720726"/>
    <n v="97365377.466600001"/>
    <n v="0.14000000000000001"/>
    <n v="3600901.64"/>
  </r>
  <r>
    <s v="Chugach"/>
    <x v="3"/>
    <s v="2019"/>
    <n v="50847293"/>
    <n v="174094479.54159999"/>
    <n v="0.14000000000000001"/>
    <n v="7118621.0200000005"/>
  </r>
  <r>
    <s v="Chugach"/>
    <x v="3"/>
    <s v="2020"/>
    <n v="25873302"/>
    <n v="93463812.864099994"/>
    <n v="0.14000000000000001"/>
    <n v="3622262.2800000003"/>
  </r>
  <r>
    <s v="Chugach"/>
    <x v="4"/>
    <s v="2011"/>
    <n v="9199360"/>
    <n v="58076032.1734"/>
    <n v="0.12"/>
    <n v="1103923.2"/>
  </r>
  <r>
    <s v="Chugach"/>
    <x v="4"/>
    <s v="2012"/>
    <n v="7018164"/>
    <n v="47389172.501400001"/>
    <n v="0.12"/>
    <n v="842179.67999999993"/>
  </r>
  <r>
    <s v="Chugach"/>
    <x v="4"/>
    <s v="2013"/>
    <n v="5177824"/>
    <n v="32072165.0748"/>
    <n v="0.12"/>
    <n v="621338.88"/>
  </r>
  <r>
    <s v="Chugach"/>
    <x v="4"/>
    <s v="2014"/>
    <n v="5905429"/>
    <n v="35615655.304499999"/>
    <n v="0.12"/>
    <n v="708651.48"/>
  </r>
  <r>
    <s v="Chugach"/>
    <x v="4"/>
    <s v="2015"/>
    <n v="6098557"/>
    <n v="32645503.261799999"/>
    <n v="0.12"/>
    <n v="731826.84"/>
  </r>
  <r>
    <s v="Chugach"/>
    <x v="4"/>
    <s v="2016"/>
    <n v="4633775"/>
    <n v="25655865.552999999"/>
    <n v="0.12"/>
    <n v="556053"/>
  </r>
  <r>
    <s v="Chugach"/>
    <x v="4"/>
    <s v="2017"/>
    <n v="3570477"/>
    <n v="20204445.315900002"/>
    <n v="0.12"/>
    <n v="428457.24"/>
  </r>
  <r>
    <s v="Chugach"/>
    <x v="4"/>
    <s v="2018"/>
    <n v="2497423"/>
    <n v="11832648.230799999"/>
    <n v="0.12"/>
    <n v="299690.76"/>
  </r>
  <r>
    <s v="Chugach"/>
    <x v="4"/>
    <s v="2019"/>
    <n v="4620512"/>
    <n v="25056698.7337"/>
    <n v="0.12"/>
    <n v="554461.43999999994"/>
  </r>
  <r>
    <s v="Chugach"/>
    <x v="4"/>
    <s v="2020"/>
    <n v="1860317"/>
    <n v="8741830.3364000004"/>
    <n v="0.12"/>
    <n v="223238.03999999998"/>
  </r>
  <r>
    <s v="Tongass"/>
    <x v="0"/>
    <s v="2011"/>
    <n v="342672"/>
    <n v="5134051.4840000002"/>
    <n v="7.0000000000000007E-2"/>
    <n v="23987.040000000001"/>
  </r>
  <r>
    <s v="Tongass"/>
    <x v="0"/>
    <s v="2012"/>
    <n v="275738"/>
    <n v="4063201.5443000002"/>
    <n v="7.0000000000000007E-2"/>
    <n v="19301.660000000003"/>
  </r>
  <r>
    <s v="Tongass"/>
    <x v="0"/>
    <s v="2013"/>
    <n v="247213"/>
    <n v="3578904.7765000002"/>
    <n v="7.0000000000000007E-2"/>
    <n v="17304.91"/>
  </r>
  <r>
    <s v="Tongass"/>
    <x v="0"/>
    <s v="2014"/>
    <n v="436936"/>
    <n v="6010208.7914000005"/>
    <n v="7.0000000000000007E-2"/>
    <n v="30585.520000000004"/>
  </r>
  <r>
    <s v="Tongass"/>
    <x v="0"/>
    <s v="2015"/>
    <n v="354496"/>
    <n v="4821152.2655999996"/>
    <n v="7.0000000000000007E-2"/>
    <n v="24814.720000000001"/>
  </r>
  <r>
    <s v="Tongass"/>
    <x v="0"/>
    <s v="2016"/>
    <n v="312124"/>
    <n v="4203564.5952000003"/>
    <n v="7.0000000000000007E-2"/>
    <n v="21848.68"/>
  </r>
  <r>
    <s v="Tongass"/>
    <x v="0"/>
    <s v="2017"/>
    <n v="173427"/>
    <n v="2232894.3849999998"/>
    <n v="7.0000000000000007E-2"/>
    <n v="12139.890000000001"/>
  </r>
  <r>
    <s v="Tongass"/>
    <x v="0"/>
    <s v="2018"/>
    <n v="164048"/>
    <n v="2262431.3075000001"/>
    <n v="7.0000000000000007E-2"/>
    <n v="11483.36"/>
  </r>
  <r>
    <s v="Tongass"/>
    <x v="0"/>
    <s v="2019"/>
    <n v="184447"/>
    <n v="2462002.452"/>
    <n v="7.0000000000000007E-2"/>
    <n v="12911.29"/>
  </r>
  <r>
    <s v="Tongass"/>
    <x v="0"/>
    <s v="2020"/>
    <n v="209503"/>
    <n v="2880044.2694000001"/>
    <n v="7.0000000000000007E-2"/>
    <n v="14665.210000000001"/>
  </r>
  <r>
    <s v="Tongass"/>
    <x v="1"/>
    <s v="2011"/>
    <n v="10729152"/>
    <n v="82056422.493399993"/>
    <n v="0.17"/>
    <n v="1823955.84"/>
  </r>
  <r>
    <s v="Tongass"/>
    <x v="1"/>
    <s v="2012"/>
    <n v="12369065"/>
    <n v="112815596.87980001"/>
    <n v="0.17"/>
    <n v="2102741.0500000003"/>
  </r>
  <r>
    <s v="Tongass"/>
    <x v="1"/>
    <s v="2013"/>
    <n v="12570521.5"/>
    <n v="98215525.815599993"/>
    <n v="0.17"/>
    <n v="2136988.6550000003"/>
  </r>
  <r>
    <s v="Tongass"/>
    <x v="1"/>
    <s v="2014"/>
    <n v="6678435.7999999998"/>
    <n v="60738294.9815"/>
    <n v="0.17"/>
    <n v="1135334.0860000001"/>
  </r>
  <r>
    <s v="Tongass"/>
    <x v="1"/>
    <s v="2015"/>
    <n v="11626457"/>
    <n v="95305565.954500005"/>
    <n v="0.17"/>
    <n v="1976497.6900000002"/>
  </r>
  <r>
    <s v="Tongass"/>
    <x v="1"/>
    <s v="2016"/>
    <n v="9115620"/>
    <n v="73424433.314899996"/>
    <n v="0.17"/>
    <n v="1549655.4000000001"/>
  </r>
  <r>
    <s v="Tongass"/>
    <x v="1"/>
    <s v="2017"/>
    <n v="11426914"/>
    <n v="95443819.660699993"/>
    <n v="0.17"/>
    <n v="1942575.3800000001"/>
  </r>
  <r>
    <s v="Tongass"/>
    <x v="1"/>
    <s v="2018"/>
    <n v="11482406"/>
    <n v="96668837.715499997"/>
    <n v="0.17"/>
    <n v="1952009.0200000003"/>
  </r>
  <r>
    <s v="Tongass"/>
    <x v="1"/>
    <s v="2019"/>
    <n v="9374706"/>
    <n v="74662109.917999998"/>
    <n v="0.17"/>
    <n v="1593700.02"/>
  </r>
  <r>
    <s v="Tongass"/>
    <x v="1"/>
    <s v="2020"/>
    <n v="4676449"/>
    <n v="34978968.268700004"/>
    <n v="0.17"/>
    <n v="794996.33000000007"/>
  </r>
  <r>
    <s v="Tongass"/>
    <x v="2"/>
    <s v="2011"/>
    <n v="2304408"/>
    <n v="14567462.6131"/>
    <n v="0.69"/>
    <n v="1590041.5199999998"/>
  </r>
  <r>
    <s v="Tongass"/>
    <x v="2"/>
    <s v="2012"/>
    <n v="2083871"/>
    <n v="14101885.5693"/>
    <n v="0.69"/>
    <n v="1437870.99"/>
  </r>
  <r>
    <s v="Tongass"/>
    <x v="2"/>
    <s v="2013"/>
    <n v="3873514"/>
    <n v="25117928.4848"/>
    <n v="0.69"/>
    <n v="2672724.6599999997"/>
  </r>
  <r>
    <s v="Tongass"/>
    <x v="2"/>
    <s v="2014"/>
    <n v="3789405"/>
    <n v="28280543.669"/>
    <n v="0.69"/>
    <n v="2614689.4499999997"/>
  </r>
  <r>
    <s v="Tongass"/>
    <x v="2"/>
    <s v="2015"/>
    <n v="2158670"/>
    <n v="15030282.0394"/>
    <n v="0.69"/>
    <n v="1489482.2999999998"/>
  </r>
  <r>
    <s v="Tongass"/>
    <x v="2"/>
    <s v="2016"/>
    <n v="2327503"/>
    <n v="17091906.1461"/>
    <n v="0.69"/>
    <n v="1605977.0699999998"/>
  </r>
  <r>
    <s v="Tongass"/>
    <x v="2"/>
    <s v="2017"/>
    <n v="2873620"/>
    <n v="17715571.562899999"/>
    <n v="0.69"/>
    <n v="1982797.7999999998"/>
  </r>
  <r>
    <s v="Tongass"/>
    <x v="2"/>
    <s v="2018"/>
    <n v="1602466"/>
    <n v="12790127.4691"/>
    <n v="0.69"/>
    <n v="1105701.5399999998"/>
  </r>
  <r>
    <s v="Tongass"/>
    <x v="2"/>
    <s v="2019"/>
    <n v="1712692"/>
    <n v="12521430.346799999"/>
    <n v="0.69"/>
    <n v="1181757.48"/>
  </r>
  <r>
    <s v="Tongass"/>
    <x v="2"/>
    <s v="2020"/>
    <n v="1159279"/>
    <n v="7961636.6580999997"/>
    <n v="0.69"/>
    <n v="799902.50999999989"/>
  </r>
  <r>
    <s v="Tongass"/>
    <x v="3"/>
    <s v="2011"/>
    <n v="59079411"/>
    <n v="219187889.64340001"/>
    <n v="0.98"/>
    <n v="57897822.780000001"/>
  </r>
  <r>
    <s v="Tongass"/>
    <x v="3"/>
    <s v="2012"/>
    <n v="21302122"/>
    <n v="76150042.148800001"/>
    <n v="0.98"/>
    <n v="20876079.559999999"/>
  </r>
  <r>
    <s v="Tongass"/>
    <x v="3"/>
    <s v="2013"/>
    <n v="94779875"/>
    <n v="304977147.74809998"/>
    <n v="0.98"/>
    <n v="92884277.5"/>
  </r>
  <r>
    <s v="Tongass"/>
    <x v="3"/>
    <s v="2014"/>
    <n v="37186408.700000003"/>
    <n v="131434182.6065"/>
    <n v="0.98"/>
    <n v="36442680.526000001"/>
  </r>
  <r>
    <s v="Tongass"/>
    <x v="3"/>
    <s v="2015"/>
    <n v="35151092"/>
    <n v="128041037.2156"/>
    <n v="0.98"/>
    <n v="34448070.159999996"/>
  </r>
  <r>
    <s v="Tongass"/>
    <x v="3"/>
    <s v="2016"/>
    <n v="18385506"/>
    <n v="72636869.965900004"/>
    <n v="0.98"/>
    <n v="18017795.879999999"/>
  </r>
  <r>
    <s v="Tongass"/>
    <x v="3"/>
    <s v="2017"/>
    <n v="34801951"/>
    <n v="128042103.1168"/>
    <n v="0.98"/>
    <n v="34105911.979999997"/>
  </r>
  <r>
    <s v="Tongass"/>
    <x v="3"/>
    <s v="2018"/>
    <n v="8082745"/>
    <n v="31280263.6567"/>
    <n v="0.98"/>
    <n v="7921090.0999999996"/>
  </r>
  <r>
    <s v="Tongass"/>
    <x v="3"/>
    <s v="2019"/>
    <n v="21149905"/>
    <n v="78026222.923099995"/>
    <n v="0.98"/>
    <n v="20726906.899999999"/>
  </r>
  <r>
    <s v="Tongass"/>
    <x v="3"/>
    <s v="2020"/>
    <n v="8058812"/>
    <n v="28362474.936999999"/>
    <n v="0.98"/>
    <n v="7897635.7599999998"/>
  </r>
  <r>
    <s v="Tongass"/>
    <x v="4"/>
    <s v="2011"/>
    <n v="1235374"/>
    <n v="7519472.2565000001"/>
    <n v="0.28999999999999998"/>
    <n v="358258.45999999996"/>
  </r>
  <r>
    <s v="Tongass"/>
    <x v="4"/>
    <s v="2012"/>
    <n v="944142.6"/>
    <n v="5928805.7192000002"/>
    <n v="0.28999999999999998"/>
    <n v="273801.35399999999"/>
  </r>
  <r>
    <s v="Tongass"/>
    <x v="4"/>
    <s v="2013"/>
    <n v="970397"/>
    <n v="5869230.7194999997"/>
    <n v="0.28999999999999998"/>
    <n v="281415.13"/>
  </r>
  <r>
    <s v="Tongass"/>
    <x v="4"/>
    <s v="2014"/>
    <n v="1663861"/>
    <n v="9742558.3233000003"/>
    <n v="0.28999999999999998"/>
    <n v="482519.68999999994"/>
  </r>
  <r>
    <s v="Tongass"/>
    <x v="4"/>
    <s v="2015"/>
    <n v="1523912"/>
    <n v="8467832.0885000005"/>
    <n v="0.28999999999999998"/>
    <n v="441934.48"/>
  </r>
  <r>
    <s v="Tongass"/>
    <x v="4"/>
    <s v="2016"/>
    <n v="1500683"/>
    <n v="8524952.0404000003"/>
    <n v="0.28999999999999998"/>
    <n v="435198.06999999995"/>
  </r>
  <r>
    <s v="Tongass"/>
    <x v="4"/>
    <s v="2017"/>
    <n v="796607"/>
    <n v="4496960.2482000003"/>
    <n v="0.28999999999999998"/>
    <n v="231016.02999999997"/>
  </r>
  <r>
    <s v="Tongass"/>
    <x v="4"/>
    <s v="2018"/>
    <n v="631675"/>
    <n v="3388430.6072999998"/>
    <n v="0.28999999999999998"/>
    <n v="183185.75"/>
  </r>
  <r>
    <s v="Tongass"/>
    <x v="4"/>
    <s v="2019"/>
    <n v="1005692"/>
    <n v="5621492.5110999998"/>
    <n v="0.28999999999999998"/>
    <n v="291650.68"/>
  </r>
  <r>
    <s v="Tongass"/>
    <x v="4"/>
    <s v="2020"/>
    <n v="453021"/>
    <n v="2342837.5060999999"/>
    <n v="0.28999999999999998"/>
    <n v="131376.0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s v="Cook Inlet"/>
    <x v="0"/>
    <x v="0"/>
    <n v="11109"/>
    <n v="225659.85"/>
    <n v="20.313246016743182"/>
    <n v="3.0915141126493699"/>
    <n v="0.52"/>
    <n v="5776.68"/>
    <n v="117343.122"/>
    <n v="362767.91768533678"/>
  </r>
  <r>
    <x v="1"/>
    <s v="Cook Inlet"/>
    <x v="0"/>
    <x v="0"/>
    <n v="2547"/>
    <n v="43282.89"/>
    <n v="16.993674911660776"/>
    <n v="3.3805517042714799"/>
    <n v="0.52"/>
    <n v="1324.44"/>
    <n v="22507.102800000001"/>
    <n v="76086.424728753394"/>
  </r>
  <r>
    <x v="2"/>
    <s v="Cook Inlet"/>
    <x v="0"/>
    <x v="0"/>
    <n v="5490"/>
    <n v="75992"/>
    <n v="13.841894353369764"/>
    <n v="3.7200141645567402"/>
    <n v="0.52"/>
    <n v="2854.8"/>
    <n v="39515.840000000004"/>
    <n v="146999.48452435783"/>
  </r>
  <r>
    <x v="3"/>
    <s v="Cook Inlet"/>
    <x v="0"/>
    <x v="0"/>
    <n v="4694"/>
    <n v="73856.75"/>
    <n v="15.734288453344695"/>
    <n v="3.7457521823216999"/>
    <n v="0.52"/>
    <n v="2440.88"/>
    <n v="38405.51"/>
    <n v="143857.52289567789"/>
  </r>
  <r>
    <x v="4"/>
    <s v="Cook Inlet"/>
    <x v="0"/>
    <x v="0"/>
    <n v="10841"/>
    <n v="181727.64"/>
    <n v="16.76299603357624"/>
    <n v="2.8952416142261899"/>
    <n v="0.52"/>
    <n v="5637.3200000000006"/>
    <n v="94498.372800000012"/>
    <n v="273595.62140722031"/>
  </r>
  <r>
    <x v="5"/>
    <s v="Cook Inlet"/>
    <x v="0"/>
    <x v="0"/>
    <n v="10503"/>
    <n v="191874.98980000001"/>
    <n v="18.268588955536515"/>
    <n v="3.03809376963018"/>
    <n v="0.52"/>
    <n v="5461.56"/>
    <n v="99774.994696000009"/>
    <n v="303125.78975080187"/>
  </r>
  <r>
    <x v="6"/>
    <s v="Cook Inlet"/>
    <x v="0"/>
    <x v="0"/>
    <n v="8030"/>
    <n v="175033.8395"/>
    <n v="21.797489352428393"/>
    <n v="3.8601404001841"/>
    <n v="0.52"/>
    <n v="4175.6000000000004"/>
    <n v="91017.596539999999"/>
    <n v="351340.70153171057"/>
  </r>
  <r>
    <x v="7"/>
    <s v="Cook Inlet"/>
    <x v="0"/>
    <x v="0"/>
    <n v="3534"/>
    <n v="48656.936900000001"/>
    <n v="13.768233418222977"/>
    <n v="3.5624842050023799"/>
    <n v="0.52"/>
    <n v="1837.68"/>
    <n v="25301.607188000002"/>
    <n v="90136.575968424688"/>
  </r>
  <r>
    <x v="8"/>
    <s v="Cook Inlet"/>
    <x v="0"/>
    <x v="0"/>
    <n v="3625"/>
    <n v="57269.316500000001"/>
    <n v="15.798432137931036"/>
    <n v="3.5843576925553799"/>
    <n v="0.52"/>
    <n v="1885"/>
    <n v="29780.044580000002"/>
    <n v="106742.33187496515"/>
  </r>
  <r>
    <x v="9"/>
    <s v="Cook Inlet"/>
    <x v="0"/>
    <x v="0"/>
    <n v="3310"/>
    <n v="41565.653599999998"/>
    <n v="12.55759927492447"/>
    <n v="4.3285877610322796"/>
    <n v="0.52"/>
    <n v="1721.2"/>
    <n v="21614.139872"/>
    <n v="93558.701315179002"/>
  </r>
  <r>
    <x v="0"/>
    <s v="Cook Inlet"/>
    <x v="0"/>
    <x v="1"/>
    <n v="160871"/>
    <n v="1073335"/>
    <n v="6.6720229252009373"/>
    <n v="0.70105297125120003"/>
    <n v="0.08"/>
    <n v="12869.68"/>
    <n v="85866.8"/>
    <n v="60197.175271832544"/>
  </r>
  <r>
    <x v="1"/>
    <s v="Cook Inlet"/>
    <x v="0"/>
    <x v="1"/>
    <n v="326199"/>
    <n v="2634416.7400000002"/>
    <n v="8.0761030536574303"/>
    <n v="0.51098546797389199"/>
    <n v="0.08"/>
    <n v="26095.920000000002"/>
    <n v="210753.33920000002"/>
    <n v="107691.8936581724"/>
  </r>
  <r>
    <x v="2"/>
    <s v="Cook Inlet"/>
    <x v="0"/>
    <x v="1"/>
    <n v="193714"/>
    <n v="1439556"/>
    <n v="7.431347243874991"/>
    <n v="0.49659162174565702"/>
    <n v="0.08"/>
    <n v="15497.12"/>
    <n v="115164.48"/>
    <n v="57189.715890695283"/>
  </r>
  <r>
    <x v="3"/>
    <s v="Cook Inlet"/>
    <x v="0"/>
    <x v="1"/>
    <n v="189914"/>
    <n v="1397873.6571"/>
    <n v="7.3605613967374701"/>
    <n v="0.56377465839566998"/>
    <n v="0.08"/>
    <n v="15193.12"/>
    <n v="111829.892568"/>
    <n v="63046.859480948668"/>
  </r>
  <r>
    <x v="4"/>
    <s v="Cook Inlet"/>
    <x v="0"/>
    <x v="1"/>
    <n v="387874"/>
    <n v="2548438.4552000002"/>
    <n v="6.5702739941321155"/>
    <n v="0.43688312759835402"/>
    <n v="0.08"/>
    <n v="31029.920000000002"/>
    <n v="203875.07641600003"/>
    <n v="89069.581023975508"/>
  </r>
  <r>
    <x v="5"/>
    <s v="Cook Inlet"/>
    <x v="0"/>
    <x v="1"/>
    <n v="197238"/>
    <n v="1382633.5978999999"/>
    <n v="7.0099757546720198"/>
    <n v="0.37787007984594301"/>
    <n v="0.08"/>
    <n v="15779.04"/>
    <n v="110610.687832"/>
    <n v="41796.469442892514"/>
  </r>
  <r>
    <x v="6"/>
    <s v="Cook Inlet"/>
    <x v="0"/>
    <x v="1"/>
    <n v="441826"/>
    <n v="3545701.3424"/>
    <n v="8.0251079438512001"/>
    <n v="0.62588998957410802"/>
    <n v="0.08"/>
    <n v="35346.080000000002"/>
    <n v="283656.10739199998"/>
    <n v="177537.51809821092"/>
  </r>
  <r>
    <x v="7"/>
    <s v="Cook Inlet"/>
    <x v="0"/>
    <x v="1"/>
    <n v="164117"/>
    <n v="1369231.9424000001"/>
    <n v="8.3430232236757931"/>
    <n v="0.71547359322224602"/>
    <n v="0.08"/>
    <n v="13129.36"/>
    <n v="109538.55539200001"/>
    <n v="78371.943822688278"/>
  </r>
  <r>
    <x v="8"/>
    <s v="Cook Inlet"/>
    <x v="0"/>
    <x v="1"/>
    <n v="185470"/>
    <n v="1281013.4674"/>
    <n v="6.906849988677414"/>
    <n v="0.42393965621878699"/>
    <n v="0.08"/>
    <n v="14837.6"/>
    <n v="102481.07739200001"/>
    <n v="43445.792718495388"/>
  </r>
  <r>
    <x v="9"/>
    <s v="Cook Inlet"/>
    <x v="0"/>
    <x v="1"/>
    <n v="45836"/>
    <n v="366161.21260000003"/>
    <n v="7.9885071254036131"/>
    <n v="0.47976854988221201"/>
    <n v="0.08"/>
    <n v="3666.88"/>
    <n v="29292.897008000004"/>
    <n v="14053.810719377148"/>
  </r>
  <r>
    <x v="0"/>
    <s v="Cook Inlet"/>
    <x v="0"/>
    <x v="2"/>
    <n v="95625"/>
    <n v="547096.80000000005"/>
    <n v="5.7212737254901969"/>
    <n v="0.78163845820018096"/>
    <n v="0.64"/>
    <n v="61200"/>
    <n v="350141.95200000005"/>
    <n v="273684.41551248182"/>
  </r>
  <r>
    <x v="1"/>
    <s v="Cook Inlet"/>
    <x v="0"/>
    <x v="2"/>
    <n v="107419"/>
    <n v="647523.32999999996"/>
    <n v="6.0280148763254173"/>
    <n v="0.75789172106603397"/>
    <n v="0.64"/>
    <n v="68748.160000000003"/>
    <n v="414414.93119999999"/>
    <n v="314081.64544263005"/>
  </r>
  <r>
    <x v="2"/>
    <s v="Cook Inlet"/>
    <x v="0"/>
    <x v="2"/>
    <n v="266802"/>
    <n v="1641448"/>
    <n v="6.1523077038403011"/>
    <n v="0.98659098704091996"/>
    <n v="0.64"/>
    <n v="170753.28"/>
    <n v="1050526.72"/>
    <n v="1036440.1935976602"/>
  </r>
  <r>
    <x v="3"/>
    <s v="Cook Inlet"/>
    <x v="0"/>
    <x v="2"/>
    <n v="136879"/>
    <n v="865132.77549999999"/>
    <n v="6.3204200461721669"/>
    <n v="0.84542769311824495"/>
    <n v="0.64"/>
    <n v="87602.559999999998"/>
    <n v="553684.97632000002"/>
    <n v="468100.61224444769"/>
  </r>
  <r>
    <x v="4"/>
    <s v="Cook Inlet"/>
    <x v="0"/>
    <x v="2"/>
    <n v="218653"/>
    <n v="1284124.7790000001"/>
    <n v="5.8728889107398485"/>
    <n v="0.64896855858012703"/>
    <n v="0.64"/>
    <n v="139937.92000000001"/>
    <n v="821839.85856000008"/>
    <n v="533348.22839337867"/>
  </r>
  <r>
    <x v="5"/>
    <s v="Cook Inlet"/>
    <x v="0"/>
    <x v="2"/>
    <n v="147140"/>
    <n v="933542.0122"/>
    <n v="6.3445834728829684"/>
    <n v="0.77642713477690495"/>
    <n v="0.64"/>
    <n v="94169.600000000006"/>
    <n v="597466.88780799997"/>
    <n v="463889.50382483995"/>
  </r>
  <r>
    <x v="6"/>
    <s v="Cook Inlet"/>
    <x v="0"/>
    <x v="2"/>
    <n v="315972"/>
    <n v="1987441.7361999999"/>
    <n v="6.2899299184737885"/>
    <n v="1.0555388931586001"/>
    <n v="0.64"/>
    <n v="202222.08000000002"/>
    <n v="1271962.711168"/>
    <n v="1342606.1122852829"/>
  </r>
  <r>
    <x v="7"/>
    <s v="Cook Inlet"/>
    <x v="0"/>
    <x v="2"/>
    <n v="246299"/>
    <n v="1589740.9926"/>
    <n v="6.4545166346594991"/>
    <n v="1.02105863887004"/>
    <n v="0.64"/>
    <n v="157631.36000000002"/>
    <n v="1017434.235264"/>
    <n v="1038860.01539844"/>
  </r>
  <r>
    <x v="8"/>
    <s v="Cook Inlet"/>
    <x v="0"/>
    <x v="2"/>
    <n v="174850"/>
    <n v="1017967.6086"/>
    <n v="5.8219480045753507"/>
    <n v="0.92024449890510396"/>
    <n v="0.64"/>
    <n v="111904"/>
    <n v="651499.26950400008"/>
    <n v="599538.61880174978"/>
  </r>
  <r>
    <x v="9"/>
    <s v="Cook Inlet"/>
    <x v="0"/>
    <x v="2"/>
    <n v="141446"/>
    <n v="847644.44469999999"/>
    <n v="5.9927070733707559"/>
    <n v="0.99361585898303695"/>
    <n v="0.64"/>
    <n v="90525.440000000002"/>
    <n v="542492.44460799999"/>
    <n v="539029.0963409855"/>
  </r>
  <r>
    <x v="0"/>
    <s v="Cook Inlet"/>
    <x v="0"/>
    <x v="3"/>
    <n v="395951"/>
    <n v="1151542"/>
    <n v="2.908294208121712"/>
    <n v="0.41623870545635"/>
    <n v="0.14000000000000001"/>
    <n v="55433.140000000007"/>
    <n v="161215.88"/>
    <n v="67104.289190206269"/>
  </r>
  <r>
    <x v="1"/>
    <s v="Cook Inlet"/>
    <x v="0"/>
    <x v="3"/>
    <n v="726064"/>
    <n v="2595190"/>
    <n v="3.5743267811102051"/>
    <n v="0.32478388740432002"/>
    <n v="0.14000000000000001"/>
    <n v="101648.96000000001"/>
    <n v="363326.60000000003"/>
    <n v="118002.62554539443"/>
  </r>
  <r>
    <x v="2"/>
    <s v="Cook Inlet"/>
    <x v="0"/>
    <x v="3"/>
    <n v="2146679"/>
    <n v="6616113"/>
    <n v="3.0820225101191188"/>
    <n v="0.38858936342385197"/>
    <n v="0.14000000000000001"/>
    <n v="300535.06000000006"/>
    <n v="926255.82000000007"/>
    <n v="359933.15946143802"/>
  </r>
  <r>
    <x v="3"/>
    <s v="Cook Inlet"/>
    <x v="0"/>
    <x v="3"/>
    <n v="914370"/>
    <n v="3306150.8284999998"/>
    <n v="3.6157691399542853"/>
    <n v="0.25945134171349399"/>
    <n v="0.14000000000000001"/>
    <n v="128011.80000000002"/>
    <n v="462861.11599000002"/>
    <n v="120089.93757061067"/>
  </r>
  <r>
    <x v="4"/>
    <s v="Cook Inlet"/>
    <x v="0"/>
    <x v="3"/>
    <n v="6435972"/>
    <n v="20253593.398800001"/>
    <n v="3.1469362201700068"/>
    <n v="0.228504649588717"/>
    <n v="0.14000000000000001"/>
    <n v="901036.08000000007"/>
    <n v="2835503.0758320005"/>
    <n v="647925.63675072056"/>
  </r>
  <r>
    <x v="5"/>
    <s v="Cook Inlet"/>
    <x v="0"/>
    <x v="3"/>
    <n v="509858"/>
    <n v="2221158.7094999999"/>
    <n v="4.3564261215867948"/>
    <n v="0.18834817016452499"/>
    <n v="0.14000000000000001"/>
    <n v="71380.12000000001"/>
    <n v="310962.21932999999"/>
    <n v="58569.165001105182"/>
  </r>
  <r>
    <x v="6"/>
    <s v="Cook Inlet"/>
    <x v="0"/>
    <x v="3"/>
    <n v="2185213"/>
    <n v="7659314.6204000004"/>
    <n v="3.5050654651972142"/>
    <n v="0.32228327372431798"/>
    <n v="0.14000000000000001"/>
    <n v="305929.82"/>
    <n v="1072304.0468560001"/>
    <n v="345585.65864858619"/>
  </r>
  <r>
    <x v="7"/>
    <s v="Cook Inlet"/>
    <x v="0"/>
    <x v="3"/>
    <n v="1693703"/>
    <n v="6255859.8722999999"/>
    <n v="3.6935990975395332"/>
    <n v="0.427717491801551"/>
    <n v="0.14000000000000001"/>
    <n v="237118.42"/>
    <n v="875820.3821220001"/>
    <n v="374603.69710989785"/>
  </r>
  <r>
    <x v="8"/>
    <s v="Cook Inlet"/>
    <x v="0"/>
    <x v="3"/>
    <n v="2127991"/>
    <n v="6643237.4649999999"/>
    <n v="3.1218353202621625"/>
    <n v="0.29805488791071699"/>
    <n v="0.14000000000000001"/>
    <n v="297918.74000000005"/>
    <n v="930053.24510000006"/>
    <n v="277206.91571927909"/>
  </r>
  <r>
    <x v="9"/>
    <s v="Cook Inlet"/>
    <x v="0"/>
    <x v="3"/>
    <n v="2870056"/>
    <n v="10700342.9989"/>
    <n v="3.7282697616004703"/>
    <n v="0.33003853508847297"/>
    <n v="0.14000000000000001"/>
    <n v="401807.84"/>
    <n v="1498048.0198460002"/>
    <n v="494413.57396216161"/>
  </r>
  <r>
    <x v="0"/>
    <s v="Cook Inlet"/>
    <x v="0"/>
    <x v="4"/>
    <n v="5667454"/>
    <n v="36193672.350000001"/>
    <n v="6.3862313395044765"/>
    <n v="1.4151279402591199"/>
    <n v="0.12"/>
    <n v="680094.48"/>
    <n v="4343240.682"/>
    <n v="6146241.240368275"/>
  </r>
  <r>
    <x v="1"/>
    <s v="Cook Inlet"/>
    <x v="0"/>
    <x v="4"/>
    <n v="3328212"/>
    <n v="22318606.57"/>
    <n v="6.7058848925489123"/>
    <n v="1.45808454462651"/>
    <n v="0.12"/>
    <n v="399385.44"/>
    <n v="2678232.7884"/>
    <n v="3905089.8356780023"/>
  </r>
  <r>
    <x v="2"/>
    <s v="Cook Inlet"/>
    <x v="0"/>
    <x v="4"/>
    <n v="2854011"/>
    <n v="17726278.75"/>
    <n v="6.2110057564599437"/>
    <n v="2.1839710103350001"/>
    <n v="0.12"/>
    <n v="342481.32"/>
    <n v="2127153.4499999997"/>
    <n v="4645641.4693340808"/>
  </r>
  <r>
    <x v="3"/>
    <s v="Cook Inlet"/>
    <x v="0"/>
    <x v="4"/>
    <n v="2613635"/>
    <n v="15780256.3979"/>
    <n v="6.037666467544244"/>
    <n v="2.1108259034086299"/>
    <n v="0.12"/>
    <n v="313636.2"/>
    <n v="1893630.7677479999"/>
    <n v="3997124.876054049"/>
  </r>
  <r>
    <x v="4"/>
    <s v="Cook Inlet"/>
    <x v="0"/>
    <x v="4"/>
    <n v="2889855"/>
    <n v="15065754.7587"/>
    <n v="5.213325498580379"/>
    <n v="1.54171980139329"/>
    <n v="0.12"/>
    <n v="346782.6"/>
    <n v="1807890.5710439999"/>
    <n v="2787260.692130757"/>
  </r>
  <r>
    <x v="5"/>
    <s v="Cook Inlet"/>
    <x v="0"/>
    <x v="4"/>
    <n v="2656048"/>
    <n v="15084386.7226"/>
    <n v="5.6792598336325248"/>
    <n v="1.50505836413609"/>
    <n v="0.12"/>
    <n v="318725.76000000001"/>
    <n v="1810126.406712"/>
    <n v="2724345.8885655012"/>
  </r>
  <r>
    <x v="6"/>
    <s v="Cook Inlet"/>
    <x v="0"/>
    <x v="4"/>
    <n v="2144697"/>
    <n v="12031160.8156"/>
    <n v="5.6097252038866099"/>
    <n v="1.8364687684168499"/>
    <n v="0.12"/>
    <n v="257363.63999999998"/>
    <n v="1443739.2978719999"/>
    <n v="2651382.1302779992"/>
  </r>
  <r>
    <x v="7"/>
    <s v="Cook Inlet"/>
    <x v="0"/>
    <x v="4"/>
    <n v="1185169"/>
    <n v="5764257.8282000003"/>
    <n v="4.8636589618864488"/>
    <n v="2.3743543410853101"/>
    <n v="0.12"/>
    <n v="142220.28"/>
    <n v="691710.93938400003"/>
    <n v="1642366.8717025982"/>
  </r>
  <r>
    <x v="8"/>
    <s v="Cook Inlet"/>
    <x v="0"/>
    <x v="4"/>
    <n v="2029905"/>
    <n v="10916186.5397"/>
    <n v="5.3776834579450759"/>
    <n v="1.9548076411489901"/>
    <n v="0.12"/>
    <n v="243588.59999999998"/>
    <n v="1309942.3847639998"/>
    <n v="2560685.3832015973"/>
  </r>
  <r>
    <x v="9"/>
    <s v="Cook Inlet"/>
    <x v="0"/>
    <x v="4"/>
    <n v="918473"/>
    <n v="4382484.0251000002"/>
    <n v="4.7714892273371134"/>
    <n v="1.5589782900148601"/>
    <n v="0.12"/>
    <n v="110216.76"/>
    <n v="525898.08301199996"/>
    <n v="819863.69417614059"/>
  </r>
  <r>
    <x v="0"/>
    <s v="Prince William Sound"/>
    <x v="0"/>
    <x v="0"/>
    <n v="19113"/>
    <n v="394966.989"/>
    <n v="20.664834876785434"/>
    <n v="5.5677672026199696"/>
    <n v="0.52"/>
    <n v="9938.76"/>
    <n v="205382.83428000001"/>
    <n v="1143523.8086853165"/>
  </r>
  <r>
    <x v="1"/>
    <s v="Prince William Sound"/>
    <x v="0"/>
    <x v="0"/>
    <n v="12217"/>
    <n v="259897.8792"/>
    <n v="21.273461504460997"/>
    <n v="3.0319572364407699"/>
    <n v="0.52"/>
    <n v="6352.84"/>
    <n v="135146.897184"/>
    <n v="409759.61289954552"/>
  </r>
  <r>
    <x v="2"/>
    <s v="Prince William Sound"/>
    <x v="0"/>
    <x v="0"/>
    <n v="10179"/>
    <n v="184845.62469999999"/>
    <n v="18.159507289517634"/>
    <n v="6.3384232298596901"/>
    <n v="0.52"/>
    <n v="5293.08"/>
    <n v="96119.724843999997"/>
    <n v="609247.49679893116"/>
  </r>
  <r>
    <x v="3"/>
    <s v="Prince William Sound"/>
    <x v="0"/>
    <x v="0"/>
    <n v="10837"/>
    <n v="193668.26459999999"/>
    <n v="17.871021924886961"/>
    <n v="6.6137400263800901"/>
    <n v="0.52"/>
    <n v="5635.24"/>
    <n v="100707.497592"/>
    <n v="666053.20778078691"/>
  </r>
  <r>
    <x v="4"/>
    <s v="Prince William Sound"/>
    <x v="0"/>
    <x v="0"/>
    <n v="23353"/>
    <n v="407296.71169999999"/>
    <n v="17.440873194022181"/>
    <n v="5.7560026953291903"/>
    <n v="0.52"/>
    <n v="12143.560000000001"/>
    <n v="211794.29008400001"/>
    <n v="1219088.5045788365"/>
  </r>
  <r>
    <x v="5"/>
    <s v="Prince William Sound"/>
    <x v="0"/>
    <x v="0"/>
    <n v="12689"/>
    <n v="228669.52739999999"/>
    <n v="18.021083410828275"/>
    <n v="6.2023809593743398"/>
    <n v="0.52"/>
    <n v="6598.2800000000007"/>
    <n v="118908.15424800001"/>
    <n v="737513.67182214221"/>
  </r>
  <r>
    <x v="6"/>
    <s v="Prince William Sound"/>
    <x v="0"/>
    <x v="0"/>
    <n v="14370"/>
    <n v="296879.9388"/>
    <n v="20.659703465553235"/>
    <n v="7.6299330694225898"/>
    <n v="0.52"/>
    <n v="7472.4000000000005"/>
    <n v="154377.568176"/>
    <n v="1177890.5126031027"/>
  </r>
  <r>
    <x v="7"/>
    <s v="Prince William Sound"/>
    <x v="0"/>
    <x v="0"/>
    <n v="8403"/>
    <n v="137135.54790000001"/>
    <n v="16.319831952873976"/>
    <n v="12.907780015352801"/>
    <n v="0.52"/>
    <n v="4369.5600000000004"/>
    <n v="71310.484907999999"/>
    <n v="920460.05198059988"/>
  </r>
  <r>
    <x v="8"/>
    <s v="Prince William Sound"/>
    <x v="0"/>
    <x v="0"/>
    <n v="19742"/>
    <n v="369845.01850000001"/>
    <n v="18.733918473305643"/>
    <n v="8.9332807310974296"/>
    <n v="0.52"/>
    <n v="10265.84"/>
    <n v="192319.40962000002"/>
    <n v="1718043.2761743797"/>
  </r>
  <r>
    <x v="9"/>
    <s v="Prince William Sound"/>
    <x v="0"/>
    <x v="0"/>
    <n v="6878"/>
    <n v="92680.538499999995"/>
    <n v="13.474925632451294"/>
    <n v="6.6341325455475699"/>
    <n v="0.52"/>
    <n v="3576.56"/>
    <n v="48193.880019999997"/>
    <n v="319724.58793689677"/>
  </r>
  <r>
    <x v="0"/>
    <s v="Prince William Sound"/>
    <x v="0"/>
    <x v="1"/>
    <n v="1914190"/>
    <n v="14169374.586100001"/>
    <n v="7.4022822113269848"/>
    <n v="0.86928705011879204"/>
    <n v="0.08"/>
    <n v="153135.20000000001"/>
    <n v="1133549.966888"/>
    <n v="985380.3068783239"/>
  </r>
  <r>
    <x v="1"/>
    <s v="Prince William Sound"/>
    <x v="0"/>
    <x v="1"/>
    <n v="3817536"/>
    <n v="27197217.641600002"/>
    <n v="7.1242858329561267"/>
    <n v="0.71503899541534599"/>
    <n v="0.08"/>
    <n v="305402.88"/>
    <n v="2175777.411328"/>
    <n v="1555765.6944433751"/>
  </r>
  <r>
    <x v="2"/>
    <s v="Prince William Sound"/>
    <x v="0"/>
    <x v="1"/>
    <n v="4070390.98"/>
    <n v="30333480.720199998"/>
    <n v="7.4522277759666222"/>
    <n v="0.61122228293644099"/>
    <n v="0.08"/>
    <n v="325631.27840000001"/>
    <n v="2426678.457616"/>
    <n v="1483239.9468167329"/>
  </r>
  <r>
    <x v="3"/>
    <s v="Prince William Sound"/>
    <x v="0"/>
    <x v="1"/>
    <n v="1516831"/>
    <n v="11624094.113600001"/>
    <n v="7.6634075342605739"/>
    <n v="0.63063849652207704"/>
    <n v="0.08"/>
    <n v="121346.48"/>
    <n v="929927.52908800007"/>
    <n v="586448.09881854639"/>
  </r>
  <r>
    <x v="4"/>
    <s v="Prince William Sound"/>
    <x v="0"/>
    <x v="1"/>
    <n v="2512313"/>
    <n v="15531565.5536"/>
    <n v="6.1821777595387202"/>
    <n v="0.60550099794517398"/>
    <n v="0.08"/>
    <n v="200985.04"/>
    <n v="1242525.244288"/>
    <n v="752350.27538845513"/>
  </r>
  <r>
    <x v="5"/>
    <s v="Prince William Sound"/>
    <x v="0"/>
    <x v="1"/>
    <n v="3170919"/>
    <n v="22092185.1976"/>
    <n v="6.9671237889078848"/>
    <n v="0.62634963559284695"/>
    <n v="0.08"/>
    <n v="253673.52000000002"/>
    <n v="1767374.815808"/>
    <n v="1106994.5718373158"/>
  </r>
  <r>
    <x v="6"/>
    <s v="Prince William Sound"/>
    <x v="0"/>
    <x v="1"/>
    <n v="5390823"/>
    <n v="40745051.724799998"/>
    <n v="7.5582247320678118"/>
    <n v="0.74309256246089705"/>
    <n v="0.08"/>
    <n v="431265.84"/>
    <n v="3259604.1379840001"/>
    <n v="2422187.5915026739"/>
  </r>
  <r>
    <x v="7"/>
    <s v="Prince William Sound"/>
    <x v="0"/>
    <x v="1"/>
    <n v="3468354"/>
    <n v="28974794.9188"/>
    <n v="8.3540477467986261"/>
    <n v="0.94139161880291999"/>
    <n v="0.08"/>
    <n v="277468.32"/>
    <n v="2317983.593504"/>
    <n v="2182130.3274473404"/>
  </r>
  <r>
    <x v="8"/>
    <s v="Prince William Sound"/>
    <x v="0"/>
    <x v="1"/>
    <n v="5380950"/>
    <n v="33345276.993500002"/>
    <n v="6.1969126257445248"/>
    <n v="0.55241034106051501"/>
    <n v="0.08"/>
    <n v="430476"/>
    <n v="2667622.1594800004"/>
    <n v="1473622.0669389346"/>
  </r>
  <r>
    <x v="9"/>
    <s v="Prince William Sound"/>
    <x v="0"/>
    <x v="1"/>
    <n v="2016770"/>
    <n v="15073138.774499999"/>
    <n v="7.4739007296320352"/>
    <n v="0.495539012869604"/>
    <n v="0.08"/>
    <n v="161341.6"/>
    <n v="1205851.1019599999"/>
    <n v="597546.2647329825"/>
  </r>
  <r>
    <x v="0"/>
    <s v="Prince William Sound"/>
    <x v="0"/>
    <x v="2"/>
    <n v="370330"/>
    <n v="2641446.4306999999"/>
    <n v="7.1326828253179597"/>
    <n v="1.1507507312716001"/>
    <n v="0.64"/>
    <n v="237011.20000000001"/>
    <n v="1690525.7156479999"/>
    <n v="1945373.7035153811"/>
  </r>
  <r>
    <x v="1"/>
    <s v="Prince William Sound"/>
    <x v="0"/>
    <x v="2"/>
    <n v="209160"/>
    <n v="1702750.2217000001"/>
    <n v="8.1408979809715056"/>
    <n v="1.27516723822009"/>
    <n v="0.64"/>
    <n v="133862.39999999999"/>
    <n v="1089760.1418880001"/>
    <n v="1389626.4304536546"/>
  </r>
  <r>
    <x v="2"/>
    <s v="Prince William Sound"/>
    <x v="0"/>
    <x v="2"/>
    <n v="619225"/>
    <n v="4927798.6827999996"/>
    <n v="7.9580099039928935"/>
    <n v="1.30658902137447"/>
    <n v="0.64"/>
    <n v="396304"/>
    <n v="3153791.1569919996"/>
    <n v="4120708.9014336341"/>
  </r>
  <r>
    <x v="3"/>
    <s v="Prince William Sound"/>
    <x v="0"/>
    <x v="2"/>
    <n v="614204"/>
    <n v="4970006.7858999996"/>
    <n v="8.0917851168341457"/>
    <n v="0.85288048444595799"/>
    <n v="0.64"/>
    <n v="393090.56"/>
    <n v="3180804.3429759997"/>
    <n v="2712845.9489651779"/>
  </r>
  <r>
    <x v="4"/>
    <s v="Prince William Sound"/>
    <x v="0"/>
    <x v="2"/>
    <n v="223453"/>
    <n v="1587645.9305"/>
    <n v="7.105055338259052"/>
    <n v="0.772014870678573"/>
    <n v="0.64"/>
    <n v="143009.92000000001"/>
    <n v="1016093.39552"/>
    <n v="784439.21133972495"/>
  </r>
  <r>
    <x v="5"/>
    <s v="Prince William Sound"/>
    <x v="0"/>
    <x v="2"/>
    <n v="482275"/>
    <n v="4422927.0619000001"/>
    <n v="9.1709648269141049"/>
    <n v="1.4729381893634199"/>
    <n v="0.64"/>
    <n v="308656"/>
    <n v="2830673.3196160002"/>
    <n v="4169406.8340745326"/>
  </r>
  <r>
    <x v="6"/>
    <s v="Prince William Sound"/>
    <x v="0"/>
    <x v="2"/>
    <n v="556330"/>
    <n v="4564869.5998999998"/>
    <n v="8.2053270539068528"/>
    <n v="1.4934812977512599"/>
    <n v="0.64"/>
    <n v="356051.20000000001"/>
    <n v="2921516.5439359997"/>
    <n v="4363230.3194393124"/>
  </r>
  <r>
    <x v="7"/>
    <s v="Prince William Sound"/>
    <x v="0"/>
    <x v="2"/>
    <n v="522790"/>
    <n v="4587873.915"/>
    <n v="8.7757491822720404"/>
    <n v="1.61653626647471"/>
    <n v="0.64"/>
    <n v="334585.60000000003"/>
    <n v="2936239.3056000001"/>
    <n v="4746537.3245509192"/>
  </r>
  <r>
    <x v="8"/>
    <s v="Prince William Sound"/>
    <x v="0"/>
    <x v="2"/>
    <n v="526332"/>
    <n v="4300971.2434999999"/>
    <n v="8.1715936775647311"/>
    <n v="1.23732574211154"/>
    <n v="0.64"/>
    <n v="336852.47999999998"/>
    <n v="2752621.5958400001"/>
    <n v="3405889.5588249797"/>
  </r>
  <r>
    <x v="9"/>
    <s v="Prince William Sound"/>
    <x v="0"/>
    <x v="2"/>
    <n v="288617"/>
    <n v="2395886.7011000002"/>
    <n v="8.3012667344612421"/>
    <n v="1.5952462675471299"/>
    <n v="0.64"/>
    <n v="184714.88"/>
    <n v="1533367.4887040001"/>
    <n v="2446098.7631331719"/>
  </r>
  <r>
    <x v="0"/>
    <s v="Prince William Sound"/>
    <x v="0"/>
    <x v="3"/>
    <n v="33394423"/>
    <n v="99849983.725099996"/>
    <n v="2.990019732489464"/>
    <n v="0.48538439894930702"/>
    <n v="0.14000000000000001"/>
    <n v="4675219.2200000007"/>
    <n v="13978997.721514001"/>
    <n v="6785187.4069708055"/>
  </r>
  <r>
    <x v="1"/>
    <s v="Prince William Sound"/>
    <x v="0"/>
    <x v="3"/>
    <n v="27232371"/>
    <n v="107093188.65459999"/>
    <n v="3.9325693915744608"/>
    <n v="0.53367230292346801"/>
    <n v="0.14000000000000001"/>
    <n v="3812531.9400000004"/>
    <n v="14993046.411644001"/>
    <n v="8001373.6063404921"/>
  </r>
  <r>
    <x v="2"/>
    <s v="Prince William Sound"/>
    <x v="0"/>
    <x v="3"/>
    <n v="92481987"/>
    <n v="256481314.2105"/>
    <n v="2.7733110255351674"/>
    <n v="0.42030727418907299"/>
    <n v="0.14000000000000001"/>
    <n v="12947478.180000002"/>
    <n v="35907383.989470005"/>
    <n v="15092134.6878745"/>
  </r>
  <r>
    <x v="3"/>
    <s v="Prince William Sound"/>
    <x v="0"/>
    <x v="3"/>
    <n v="44659138"/>
    <n v="149221578.95500001"/>
    <n v="3.3413448095437941"/>
    <n v="0.32668182704365001"/>
    <n v="0.14000000000000001"/>
    <n v="6252279.3200000003"/>
    <n v="20891021.053700004"/>
    <n v="6824716.926630076"/>
  </r>
  <r>
    <x v="4"/>
    <s v="Prince William Sound"/>
    <x v="0"/>
    <x v="3"/>
    <n v="97332941"/>
    <n v="327108910.75779998"/>
    <n v="3.3607215337076886"/>
    <n v="0.23339196023322101"/>
    <n v="0.14000000000000001"/>
    <n v="13626611.740000002"/>
    <n v="45795247.506092004"/>
    <n v="10688242.584812339"/>
  </r>
  <r>
    <x v="5"/>
    <s v="Prince William Sound"/>
    <x v="0"/>
    <x v="3"/>
    <n v="13069770"/>
    <n v="51865966.416500002"/>
    <n v="3.9683916715060787"/>
    <n v="0.45689277146653201"/>
    <n v="0.14000000000000001"/>
    <n v="1829767.8000000003"/>
    <n v="7261235.2983100014"/>
    <n v="3317605.9197154669"/>
  </r>
  <r>
    <x v="6"/>
    <s v="Prince William Sound"/>
    <x v="0"/>
    <x v="3"/>
    <n v="48590303"/>
    <n v="187722886.3355"/>
    <n v="3.8633816779347927"/>
    <n v="0.41072879033547299"/>
    <n v="0.14000000000000001"/>
    <n v="6802642.4200000009"/>
    <n v="26281204.086970001"/>
    <n v="10794447.163200878"/>
  </r>
  <r>
    <x v="7"/>
    <s v="Prince William Sound"/>
    <x v="0"/>
    <x v="3"/>
    <n v="24027023"/>
    <n v="91109517.594300002"/>
    <n v="3.791960310451278"/>
    <n v="0.49897822884568099"/>
    <n v="0.14000000000000001"/>
    <n v="3363783.22"/>
    <n v="12755332.463202002"/>
    <n v="6364633.2008263525"/>
  </r>
  <r>
    <x v="8"/>
    <s v="Prince William Sound"/>
    <x v="0"/>
    <x v="3"/>
    <n v="48719302"/>
    <n v="167451242.07659999"/>
    <n v="3.4370615998685694"/>
    <n v="0.35334781644498198"/>
    <n v="0.14000000000000001"/>
    <n v="6820702.2800000003"/>
    <n v="23443173.890724"/>
    <n v="8283594.3048273381"/>
  </r>
  <r>
    <x v="9"/>
    <s v="Prince William Sound"/>
    <x v="0"/>
    <x v="3"/>
    <n v="23003246"/>
    <n v="82763469.865199998"/>
    <n v="3.597903959519452"/>
    <n v="0.46108037107281002"/>
    <n v="0.14000000000000001"/>
    <n v="3220454.4400000004"/>
    <n v="11586885.781128"/>
    <n v="5342485.5955407647"/>
  </r>
  <r>
    <x v="0"/>
    <s v="Prince William Sound"/>
    <x v="0"/>
    <x v="4"/>
    <n v="3531906"/>
    <n v="21882359.823399998"/>
    <n v="6.1956235028338797"/>
    <n v="1.8555143449220199"/>
    <n v="0.12"/>
    <n v="423828.72"/>
    <n v="2625883.1788079995"/>
    <n v="4872363.9063676763"/>
  </r>
  <r>
    <x v="1"/>
    <s v="Prince William Sound"/>
    <x v="0"/>
    <x v="4"/>
    <n v="3689952"/>
    <n v="25070565.931400001"/>
    <n v="6.7942796901965119"/>
    <n v="1.82216823042661"/>
    <n v="0.12"/>
    <n v="442794.23999999999"/>
    <n v="3008467.9117680001"/>
    <n v="5481934.651081535"/>
  </r>
  <r>
    <x v="2"/>
    <s v="Prince William Sound"/>
    <x v="0"/>
    <x v="4"/>
    <n v="2323813"/>
    <n v="14345886.3248"/>
    <n v="6.1734254541135627"/>
    <n v="2.4526310698821399"/>
    <n v="0.12"/>
    <n v="278857.56"/>
    <n v="1721506.358976"/>
    <n v="4222219.9830242144"/>
  </r>
  <r>
    <x v="3"/>
    <s v="Prince William Sound"/>
    <x v="0"/>
    <x v="4"/>
    <n v="3291794"/>
    <n v="19835398.906599998"/>
    <n v="6.0257108757716908"/>
    <n v="2.41930115677726"/>
    <n v="0.12"/>
    <n v="395015.27999999997"/>
    <n v="2380247.8687919998"/>
    <n v="5758536.4223850928"/>
  </r>
  <r>
    <x v="4"/>
    <s v="Prince William Sound"/>
    <x v="0"/>
    <x v="4"/>
    <n v="3208702"/>
    <n v="17579748.5031"/>
    <n v="5.4787725700610403"/>
    <n v="1.98196792697879"/>
    <n v="0.12"/>
    <n v="385044.24"/>
    <n v="2109569.8203719999"/>
    <n v="4181099.7236997108"/>
  </r>
  <r>
    <x v="5"/>
    <s v="Prince William Sound"/>
    <x v="0"/>
    <x v="4"/>
    <n v="1977727"/>
    <n v="10571478.830399999"/>
    <n v="5.3452669809331619"/>
    <n v="2.3334961402549199"/>
    <n v="0.12"/>
    <n v="237327.24"/>
    <n v="1268577.4596479998"/>
    <n v="2960220.605702999"/>
  </r>
  <r>
    <x v="6"/>
    <s v="Prince William Sound"/>
    <x v="0"/>
    <x v="4"/>
    <n v="1425780"/>
    <n v="8173284.5003000004"/>
    <n v="5.7325004561012225"/>
    <n v="2.6397669283690099"/>
    <n v="0.12"/>
    <n v="171093.6"/>
    <n v="980794.14003600006"/>
    <n v="2589067.9344051564"/>
  </r>
  <r>
    <x v="7"/>
    <s v="Prince William Sound"/>
    <x v="0"/>
    <x v="4"/>
    <n v="1312254"/>
    <n v="6068390.4025999997"/>
    <n v="4.6244022899530117"/>
    <n v="2.4153222874993898"/>
    <n v="0.12"/>
    <n v="157470.47999999998"/>
    <n v="728206.84831199993"/>
    <n v="1758854.2306376609"/>
  </r>
  <r>
    <x v="8"/>
    <s v="Prince William Sound"/>
    <x v="0"/>
    <x v="4"/>
    <n v="2590607"/>
    <n v="14140512.194"/>
    <n v="5.4583779762812341"/>
    <n v="2.5651428745114302"/>
    <n v="0.12"/>
    <n v="310872.83999999997"/>
    <n v="1696861.46328"/>
    <n v="4352692.091565731"/>
  </r>
  <r>
    <x v="9"/>
    <s v="Prince William Sound"/>
    <x v="0"/>
    <x v="4"/>
    <n v="941844"/>
    <n v="4359346.3113000002"/>
    <n v="4.628522676048263"/>
    <n v="2.13827100297374"/>
    <n v="0.12"/>
    <n v="113021.28"/>
    <n v="523121.557356"/>
    <n v="1118575.657124799"/>
  </r>
  <r>
    <x v="0"/>
    <s v="Southeast/Yakutat"/>
    <x v="1"/>
    <x v="0"/>
    <n v="342672"/>
    <n v="5134051.4840000002"/>
    <n v="14.982407328290611"/>
    <n v="4.0444310654151803"/>
    <n v="7.0000000000000007E-2"/>
    <n v="23987.040000000001"/>
    <n v="359383.60388000007"/>
    <n v="1453502.2119331358"/>
  </r>
  <r>
    <x v="1"/>
    <s v="Southeast/Yakutat"/>
    <x v="1"/>
    <x v="0"/>
    <n v="275738"/>
    <n v="4063201.5443000002"/>
    <n v="14.735732994001554"/>
    <n v="4.4145241953729801"/>
    <n v="7.0000000000000007E-2"/>
    <n v="19301.660000000003"/>
    <n v="284424.10810100002"/>
    <n v="1255597.1069592447"/>
  </r>
  <r>
    <x v="2"/>
    <s v="Southeast/Yakutat"/>
    <x v="1"/>
    <x v="0"/>
    <n v="247213"/>
    <n v="3578904.7765000002"/>
    <n v="14.477008800103555"/>
    <n v="4.9079757318918702"/>
    <n v="7.0000000000000007E-2"/>
    <n v="17304.91"/>
    <n v="250523.33435500003"/>
    <n v="1229562.4452869729"/>
  </r>
  <r>
    <x v="3"/>
    <s v="Southeast/Yakutat"/>
    <x v="1"/>
    <x v="0"/>
    <n v="436936"/>
    <n v="6010208.7914000005"/>
    <n v="13.755352709321274"/>
    <n v="4.40776381733495"/>
    <n v="7.0000000000000007E-2"/>
    <n v="30585.520000000004"/>
    <n v="420714.61539800005"/>
    <n v="1854410.659175294"/>
  </r>
  <r>
    <x v="4"/>
    <s v="Southeast/Yakutat"/>
    <x v="1"/>
    <x v="0"/>
    <n v="354496"/>
    <n v="4821152.2655999996"/>
    <n v="13.600018803033038"/>
    <n v="4.0736575710084004"/>
    <n v="7.0000000000000007E-2"/>
    <n v="24814.720000000001"/>
    <n v="337480.65859200002"/>
    <n v="1374780.639942202"/>
  </r>
  <r>
    <x v="5"/>
    <s v="Southeast/Yakutat"/>
    <x v="1"/>
    <x v="0"/>
    <n v="312124"/>
    <n v="4203564.5952000003"/>
    <n v="13.46761093411593"/>
    <n v="5.7838450537993404"/>
    <n v="7.0000000000000007E-2"/>
    <n v="21848.68"/>
    <n v="294249.52166400006"/>
    <n v="1701893.6404591487"/>
  </r>
  <r>
    <x v="6"/>
    <s v="Southeast/Yakutat"/>
    <x v="1"/>
    <x v="0"/>
    <n v="173427"/>
    <n v="2232894.3849999998"/>
    <n v="12.875125470659123"/>
    <n v="7.4876197292661599"/>
    <n v="7.0000000000000007E-2"/>
    <n v="12139.890000000001"/>
    <n v="156302.60694999999"/>
    <n v="1170334.483534554"/>
  </r>
  <r>
    <x v="7"/>
    <s v="Southeast/Yakutat"/>
    <x v="1"/>
    <x v="0"/>
    <n v="164048"/>
    <n v="2262431.3075000001"/>
    <n v="13.791276379474301"/>
    <n v="7.3075786021172"/>
    <n v="7.0000000000000007E-2"/>
    <n v="11483.36"/>
    <n v="158370.19152500003"/>
    <n v="1157302.6228012929"/>
  </r>
  <r>
    <x v="8"/>
    <s v="Southeast/Yakutat"/>
    <x v="1"/>
    <x v="0"/>
    <n v="184447"/>
    <n v="2462002.452"/>
    <n v="13.348021122598904"/>
    <n v="5.14872294609411"/>
    <n v="7.0000000000000007E-2"/>
    <n v="12911.29"/>
    <n v="172340.17164000002"/>
    <n v="887331.79625666549"/>
  </r>
  <r>
    <x v="9"/>
    <s v="Southeast/Yakutat"/>
    <x v="1"/>
    <x v="0"/>
    <n v="209503"/>
    <n v="2880044.2694000001"/>
    <n v="13.747031161367618"/>
    <n v="5.2717599644251303"/>
    <n v="7.0000000000000007E-2"/>
    <n v="14665.210000000001"/>
    <n v="201603.09885800001"/>
    <n v="1062803.1452636463"/>
  </r>
  <r>
    <x v="0"/>
    <s v="Southeast/Yakutat"/>
    <x v="1"/>
    <x v="1"/>
    <n v="10729152"/>
    <n v="82056422.493399993"/>
    <n v="7.6479876968282294"/>
    <n v="0.93512207448688101"/>
    <n v="0.17"/>
    <n v="1823955.84"/>
    <n v="13949591.823878"/>
    <n v="13044571.244590029"/>
  </r>
  <r>
    <x v="1"/>
    <s v="Southeast/Yakutat"/>
    <x v="1"/>
    <x v="1"/>
    <n v="12369065"/>
    <n v="112815596.87980001"/>
    <n v="9.1207861612660306"/>
    <n v="0.86820868123058503"/>
    <n v="0.17"/>
    <n v="2102741.0500000003"/>
    <n v="19178651.469566002"/>
    <n v="16651071.70017292"/>
  </r>
  <r>
    <x v="2"/>
    <s v="Southeast/Yakutat"/>
    <x v="1"/>
    <x v="1"/>
    <n v="12570521.5"/>
    <n v="98215525.815599993"/>
    <n v="7.8131623907249983"/>
    <n v="0.59875720404191402"/>
    <n v="0.17"/>
    <n v="2136988.6550000003"/>
    <n v="16696639.388652001"/>
    <n v="9997233.1172453649"/>
  </r>
  <r>
    <x v="3"/>
    <s v="Southeast/Yakutat"/>
    <x v="1"/>
    <x v="1"/>
    <n v="6678435.7999999998"/>
    <n v="60738294.9815"/>
    <n v="9.0946887565348771"/>
    <n v="0.74412791486411201"/>
    <n v="0.17"/>
    <n v="1135334.0860000001"/>
    <n v="10325510.146855"/>
    <n v="7683500.3354874421"/>
  </r>
  <r>
    <x v="4"/>
    <s v="Southeast/Yakutat"/>
    <x v="1"/>
    <x v="1"/>
    <n v="11626457"/>
    <n v="95305565.954500005"/>
    <n v="8.1973008591095304"/>
    <n v="0.59413708890412498"/>
    <n v="0.17"/>
    <n v="1976497.6900000002"/>
    <n v="16201946.212265002"/>
    <n v="9626177.1571363416"/>
  </r>
  <r>
    <x v="5"/>
    <s v="Southeast/Yakutat"/>
    <x v="1"/>
    <x v="1"/>
    <n v="9115620"/>
    <n v="73424433.314899996"/>
    <n v="8.0547931259640038"/>
    <n v="0.69703602131772402"/>
    <n v="0.17"/>
    <n v="1549655.4000000001"/>
    <n v="12482153.663533"/>
    <n v="8700510.7271054946"/>
  </r>
  <r>
    <x v="6"/>
    <s v="Southeast/Yakutat"/>
    <x v="1"/>
    <x v="1"/>
    <n v="11426914"/>
    <n v="95443819.660699993"/>
    <n v="8.3525455482293811"/>
    <n v="0.87931065706002398"/>
    <n v="0.17"/>
    <n v="1942575.3800000001"/>
    <n v="16225449.342319001"/>
    <n v="14267210.522288654"/>
  </r>
  <r>
    <x v="7"/>
    <s v="Southeast/Yakutat"/>
    <x v="1"/>
    <x v="1"/>
    <n v="11482406"/>
    <n v="96668837.715499997"/>
    <n v="8.4188660212415414"/>
    <n v="1.0302958487449201"/>
    <n v="0.17"/>
    <n v="1952009.0200000003"/>
    <n v="16433702.411635"/>
    <n v="16931575.374216922"/>
  </r>
  <r>
    <x v="8"/>
    <s v="Southeast/Yakutat"/>
    <x v="1"/>
    <x v="1"/>
    <n v="9374706"/>
    <n v="74662109.917999998"/>
    <n v="7.9642081488208802"/>
    <n v="0.59155243002080304"/>
    <n v="0.17"/>
    <n v="1593700.02"/>
    <n v="12692558.68606"/>
    <n v="7508313.933920444"/>
  </r>
  <r>
    <x v="9"/>
    <s v="Southeast/Yakutat"/>
    <x v="1"/>
    <x v="1"/>
    <n v="4676449"/>
    <n v="34978968.268700004"/>
    <n v="7.4798139076679773"/>
    <n v="0.522334227560873"/>
    <n v="0.17"/>
    <n v="794996.33000000007"/>
    <n v="5946424.6056790007"/>
    <n v="3106021.1031563096"/>
  </r>
  <r>
    <x v="0"/>
    <s v="Southeast/Yakutat"/>
    <x v="1"/>
    <x v="2"/>
    <n v="2304408"/>
    <n v="14567462.6131"/>
    <n v="6.3215639822028047"/>
    <n v="1.3046650793531001"/>
    <n v="0.69"/>
    <n v="1590041.5199999998"/>
    <n v="10051549.203039"/>
    <n v="13113905.238604465"/>
  </r>
  <r>
    <x v="1"/>
    <s v="Southeast/Yakutat"/>
    <x v="1"/>
    <x v="2"/>
    <n v="2083871"/>
    <n v="14101885.5693"/>
    <n v="6.7671586049712289"/>
    <n v="1.4344018438631401"/>
    <n v="0.69"/>
    <n v="1437870.99"/>
    <n v="9730301.0428169984"/>
    <n v="13957161.757160136"/>
  </r>
  <r>
    <x v="2"/>
    <s v="Southeast/Yakutat"/>
    <x v="1"/>
    <x v="2"/>
    <n v="3873514"/>
    <n v="25117928.4848"/>
    <n v="6.484532774323263"/>
    <n v="1.475064768005"/>
    <n v="0.69"/>
    <n v="2672724.6599999997"/>
    <n v="17331370.654511999"/>
    <n v="25564894.233706407"/>
  </r>
  <r>
    <x v="3"/>
    <s v="Southeast/Yakutat"/>
    <x v="1"/>
    <x v="2"/>
    <n v="3789405"/>
    <n v="28280543.669"/>
    <n v="7.4630565138854248"/>
    <n v="1.3665475396548099"/>
    <n v="0.69"/>
    <n v="2614689.4499999997"/>
    <n v="19513575.131609999"/>
    <n v="26666228.085970927"/>
  </r>
  <r>
    <x v="4"/>
    <s v="Southeast/Yakutat"/>
    <x v="1"/>
    <x v="2"/>
    <n v="2158670"/>
    <n v="15030282.0394"/>
    <n v="6.9627511566844404"/>
    <n v="0.90541887763179696"/>
    <n v="0.69"/>
    <n v="1489482.2999999998"/>
    <n v="10370894.607185999"/>
    <n v="9390003.7552760039"/>
  </r>
  <r>
    <x v="5"/>
    <s v="Southeast/Yakutat"/>
    <x v="1"/>
    <x v="2"/>
    <n v="2327503"/>
    <n v="17091906.1461"/>
    <n v="7.3434518220169851"/>
    <n v="1.32301155866864"/>
    <n v="0.69"/>
    <n v="1605977.0699999998"/>
    <n v="11793415.240808999"/>
    <n v="15602824.679769209"/>
  </r>
  <r>
    <x v="6"/>
    <s v="Southeast/Yakutat"/>
    <x v="1"/>
    <x v="2"/>
    <n v="2873620"/>
    <n v="17715571.562899999"/>
    <n v="6.1648970855227896"/>
    <n v="1.5576168680200799"/>
    <n v="0.69"/>
    <n v="1982797.7999999998"/>
    <n v="12223744.378400998"/>
    <n v="19039910.434163023"/>
  </r>
  <r>
    <x v="7"/>
    <s v="Southeast/Yakutat"/>
    <x v="1"/>
    <x v="2"/>
    <n v="1602466"/>
    <n v="12790127.4691"/>
    <n v="7.9815281379448928"/>
    <n v="1.7414673570827"/>
    <n v="0.69"/>
    <n v="1105701.5399999998"/>
    <n v="8825187.9536789991"/>
    <n v="15368776.741451448"/>
  </r>
  <r>
    <x v="8"/>
    <s v="Southeast/Yakutat"/>
    <x v="1"/>
    <x v="2"/>
    <n v="1712692"/>
    <n v="12521430.346799999"/>
    <n v="7.3109644622617491"/>
    <n v="1.4947043820260599"/>
    <n v="0.69"/>
    <n v="1181757.48"/>
    <n v="8639786.9392919987"/>
    <n v="12913927.39793127"/>
  </r>
  <r>
    <x v="9"/>
    <s v="Southeast/Yakutat"/>
    <x v="1"/>
    <x v="2"/>
    <n v="1159279"/>
    <n v="7961636.6580999997"/>
    <n v="6.867748538617537"/>
    <n v="1.7059682439539501"/>
    <n v="0.69"/>
    <n v="799902.50999999989"/>
    <n v="5493529.2940889997"/>
    <n v="9371786.5229465943"/>
  </r>
  <r>
    <x v="0"/>
    <s v="Southeast/Yakutat"/>
    <x v="1"/>
    <x v="3"/>
    <n v="59079411"/>
    <n v="219187889.64340001"/>
    <n v="3.7100554310434819"/>
    <n v="0.46670090082636001"/>
    <n v="0.98"/>
    <n v="57897822.780000001"/>
    <n v="214804131.850532"/>
    <n v="100249281.83586749"/>
  </r>
  <r>
    <x v="1"/>
    <s v="Southeast/Yakutat"/>
    <x v="1"/>
    <x v="3"/>
    <n v="21302122"/>
    <n v="76150042.148800001"/>
    <n v="3.57476321602139"/>
    <n v="0.48118781421650098"/>
    <n v="0.98"/>
    <n v="20876079.559999999"/>
    <n v="74627041.305823997"/>
    <n v="35909622.887393981"/>
  </r>
  <r>
    <x v="2"/>
    <s v="Southeast/Yakutat"/>
    <x v="1"/>
    <x v="3"/>
    <n v="94779875"/>
    <n v="304977147.74809998"/>
    <n v="3.2177416117936426"/>
    <n v="0.43132877408307402"/>
    <n v="0.98"/>
    <n v="92884277.5"/>
    <n v="298877604.79313797"/>
    <n v="128914510.87630969"/>
  </r>
  <r>
    <x v="3"/>
    <s v="Southeast/Yakutat"/>
    <x v="1"/>
    <x v="3"/>
    <n v="37186408.700000003"/>
    <n v="131434182.6065"/>
    <n v="3.5344682963832423"/>
    <n v="0.29451638314058798"/>
    <n v="0.98"/>
    <n v="36442680.526000001"/>
    <n v="128805498.95436999"/>
    <n v="37935329.680659838"/>
  </r>
  <r>
    <x v="4"/>
    <s v="Southeast/Yakutat"/>
    <x v="1"/>
    <x v="3"/>
    <n v="35151092"/>
    <n v="128041037.2156"/>
    <n v="3.6425905976292285"/>
    <n v="0.22246087484538199"/>
    <n v="0.98"/>
    <n v="34448070.159999996"/>
    <n v="125480216.471288"/>
    <n v="27914438.731990639"/>
  </r>
  <r>
    <x v="5"/>
    <s v="Southeast/Yakutat"/>
    <x v="1"/>
    <x v="3"/>
    <n v="18385506"/>
    <n v="72636869.965900004"/>
    <n v="3.9507680651215149"/>
    <n v="0.32702532382043298"/>
    <n v="0.98"/>
    <n v="18017795.879999999"/>
    <n v="71184132.566582009"/>
    <n v="23279014.003463112"/>
  </r>
  <r>
    <x v="6"/>
    <s v="Southeast/Yakutat"/>
    <x v="1"/>
    <x v="3"/>
    <n v="34801951"/>
    <n v="128042103.1168"/>
    <n v="3.6791645134147792"/>
    <n v="0.41698235399218198"/>
    <n v="0.98"/>
    <n v="34105911.979999997"/>
    <n v="125481261.054464"/>
    <n v="52323471.616397902"/>
  </r>
  <r>
    <x v="7"/>
    <s v="Southeast/Yakutat"/>
    <x v="1"/>
    <x v="3"/>
    <n v="8082745"/>
    <n v="31280263.6567"/>
    <n v="3.870005011502899"/>
    <n v="0.46841881027503501"/>
    <n v="0.98"/>
    <n v="7921090.0999999996"/>
    <n v="30654658.383566"/>
    <n v="14359218.609417614"/>
  </r>
  <r>
    <x v="8"/>
    <s v="Southeast/Yakutat"/>
    <x v="1"/>
    <x v="3"/>
    <n v="21149905"/>
    <n v="78026222.923099995"/>
    <n v="3.6891996878047442"/>
    <n v="0.33498621337543999"/>
    <n v="0.98"/>
    <n v="20726906.899999999"/>
    <n v="76465698.464637995"/>
    <n v="25614954.781777278"/>
  </r>
  <r>
    <x v="9"/>
    <s v="Southeast/Yakutat"/>
    <x v="1"/>
    <x v="3"/>
    <n v="8058812"/>
    <n v="28362474.936999999"/>
    <n v="3.5194362316678935"/>
    <n v="0.33300941696090602"/>
    <n v="0.98"/>
    <n v="7897635.7599999998"/>
    <n v="27795225.43826"/>
    <n v="9256071.8174919058"/>
  </r>
  <r>
    <x v="0"/>
    <s v="Southeast/Yakutat"/>
    <x v="1"/>
    <x v="4"/>
    <n v="1235374"/>
    <n v="7519472.2565000001"/>
    <n v="6.0867982137393213"/>
    <n v="1.6158269822293201"/>
    <n v="0.28999999999999998"/>
    <n v="358258.45999999996"/>
    <n v="2180646.9543849998"/>
    <n v="3523548.1876114719"/>
  </r>
  <r>
    <x v="1"/>
    <s v="Southeast/Yakutat"/>
    <x v="1"/>
    <x v="4"/>
    <n v="944142.6"/>
    <n v="5928805.7192000002"/>
    <n v="6.2795659460763664"/>
    <n v="1.3113121807903301"/>
    <n v="0.28999999999999998"/>
    <n v="273801.35399999999"/>
    <n v="1719353.658568"/>
    <n v="2254609.3955666367"/>
  </r>
  <r>
    <x v="2"/>
    <s v="Southeast/Yakutat"/>
    <x v="1"/>
    <x v="4"/>
    <n v="970397"/>
    <n v="5869230.7194999997"/>
    <n v="6.0482778898739378"/>
    <n v="1.74064405942684"/>
    <n v="0.28999999999999998"/>
    <n v="281415.13"/>
    <n v="1702076.9086549997"/>
    <n v="2962710.0597379254"/>
  </r>
  <r>
    <x v="3"/>
    <s v="Southeast/Yakutat"/>
    <x v="1"/>
    <x v="4"/>
    <n v="1663861"/>
    <n v="9742558.3233000003"/>
    <n v="5.8553919608068226"/>
    <n v="1.6917159714222301"/>
    <n v="0.28999999999999998"/>
    <n v="482519.68999999994"/>
    <n v="2825341.9137570001"/>
    <n v="4779676.0402313657"/>
  </r>
  <r>
    <x v="4"/>
    <s v="Southeast/Yakutat"/>
    <x v="1"/>
    <x v="4"/>
    <n v="1523912"/>
    <n v="8467832.0885000005"/>
    <n v="5.5566411239625388"/>
    <n v="1.1437345131390499"/>
    <n v="0.28999999999999998"/>
    <n v="441934.48"/>
    <n v="2455671.3056649999"/>
    <n v="2808636.0252142935"/>
  </r>
  <r>
    <x v="5"/>
    <s v="Southeast/Yakutat"/>
    <x v="1"/>
    <x v="4"/>
    <n v="1500683"/>
    <n v="8524952.0404000003"/>
    <n v="5.6807147414877095"/>
    <n v="1.3143256668985399"/>
    <n v="0.28999999999999998"/>
    <n v="435198.06999999995"/>
    <n v="2472236.0917159999"/>
    <n v="3249323.3499752716"/>
  </r>
  <r>
    <x v="6"/>
    <s v="Southeast/Yakutat"/>
    <x v="1"/>
    <x v="4"/>
    <n v="796607"/>
    <n v="4496960.2482000003"/>
    <n v="5.645142772031881"/>
    <n v="1.7168602436552201"/>
    <n v="0.28999999999999998"/>
    <n v="231016.02999999997"/>
    <n v="1304118.4719779999"/>
    <n v="2238989.1575554223"/>
  </r>
  <r>
    <x v="7"/>
    <s v="Southeast/Yakutat"/>
    <x v="1"/>
    <x v="4"/>
    <n v="631675"/>
    <n v="3388430.6072999998"/>
    <n v="5.3641993229113067"/>
    <n v="1.8949241715327001"/>
    <n v="0.28999999999999998"/>
    <n v="183185.75"/>
    <n v="982644.87611699989"/>
    <n v="1862037.5277868588"/>
  </r>
  <r>
    <x v="8"/>
    <s v="Southeast/Yakutat"/>
    <x v="1"/>
    <x v="4"/>
    <n v="1005692"/>
    <n v="5621492.5110999998"/>
    <n v="5.5896760748817726"/>
    <n v="1.8980369785512901"/>
    <n v="0.28999999999999998"/>
    <n v="291650.68"/>
    <n v="1630232.8282189998"/>
    <n v="3094242.1916079144"/>
  </r>
  <r>
    <x v="9"/>
    <s v="Southeast/Yakutat"/>
    <x v="1"/>
    <x v="4"/>
    <n v="453021"/>
    <n v="2342837.5060999999"/>
    <n v="5.1715869818396936"/>
    <n v="1.6497336845602399"/>
    <n v="0.28999999999999998"/>
    <n v="131376.09"/>
    <n v="679422.87676899997"/>
    <n v="1120866.8058666401"/>
  </r>
  <r>
    <x v="10"/>
    <m/>
    <x v="2"/>
    <x v="5"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x v="0"/>
    <x v="0"/>
    <n v="30222"/>
    <n v="620626.83900000004"/>
    <n v="20.535597875719677"/>
    <n v="0.52"/>
    <n v="15715.44"/>
    <n v="322725.95628000004"/>
    <n v="0.55000000000000004"/>
    <n v="473331.40254400013"/>
  </r>
  <r>
    <x v="0"/>
    <x v="0"/>
    <x v="1"/>
    <n v="14764"/>
    <n v="303180.76919999998"/>
    <n v="20.535137442427526"/>
    <n v="0.52"/>
    <n v="7677.2800000000007"/>
    <n v="157653.99998399999"/>
    <n v="0.55000000000000004"/>
    <n v="231225.86664320002"/>
  </r>
  <r>
    <x v="0"/>
    <x v="0"/>
    <x v="2"/>
    <n v="15669"/>
    <n v="260837.62469999999"/>
    <n v="16.646730786904076"/>
    <n v="0.52"/>
    <n v="8147.88"/>
    <n v="135635.56484400001"/>
    <n v="0.55000000000000004"/>
    <n v="198932.16177120002"/>
  </r>
  <r>
    <x v="0"/>
    <x v="0"/>
    <x v="3"/>
    <n v="15531"/>
    <n v="267525.01459999999"/>
    <n v="17.225227905479365"/>
    <n v="0.52"/>
    <n v="8076.12"/>
    <n v="139113.00759200001"/>
    <n v="0.55000000000000004"/>
    <n v="204032.41113493335"/>
  </r>
  <r>
    <x v="0"/>
    <x v="0"/>
    <x v="4"/>
    <n v="34194"/>
    <n v="589024.3517"/>
    <n v="17.225956357840555"/>
    <n v="0.52"/>
    <n v="17780.88"/>
    <n v="306292.66288399999"/>
    <n v="0.55000000000000004"/>
    <n v="449229.23889653338"/>
  </r>
  <r>
    <x v="0"/>
    <x v="0"/>
    <x v="5"/>
    <n v="23192"/>
    <n v="420544.5172"/>
    <n v="18.13317166264229"/>
    <n v="0.52"/>
    <n v="12059.84"/>
    <n v="218683.14894400002"/>
    <n v="0.55000000000000004"/>
    <n v="320735.2851178667"/>
  </r>
  <r>
    <x v="0"/>
    <x v="0"/>
    <x v="6"/>
    <n v="22400"/>
    <n v="471913.77830000001"/>
    <n v="21.067579388392858"/>
    <n v="0.52"/>
    <n v="11648"/>
    <n v="245395.164716"/>
    <n v="0.55000000000000004"/>
    <n v="359912.90825013333"/>
  </r>
  <r>
    <x v="0"/>
    <x v="0"/>
    <x v="7"/>
    <n v="11937"/>
    <n v="185792.48480000001"/>
    <n v="15.564420273100444"/>
    <n v="0.52"/>
    <n v="6207.24"/>
    <n v="96612.092096000008"/>
    <n v="0.55000000000000004"/>
    <n v="141697.73507413335"/>
  </r>
  <r>
    <x v="0"/>
    <x v="0"/>
    <x v="8"/>
    <n v="23367"/>
    <n v="427114.33500000002"/>
    <n v="18.278526768519708"/>
    <n v="0.52"/>
    <n v="12150.84"/>
    <n v="222099.45420000001"/>
    <n v="0.55000000000000004"/>
    <n v="325745.86616000003"/>
  </r>
  <r>
    <x v="0"/>
    <x v="0"/>
    <x v="9"/>
    <n v="10188"/>
    <n v="134246.19209999999"/>
    <n v="13.176893610129563"/>
    <n v="0.52"/>
    <n v="5297.76"/>
    <n v="69808.019891999997"/>
    <n v="0.55000000000000004"/>
    <n v="102385.09584159999"/>
  </r>
  <r>
    <x v="0"/>
    <x v="1"/>
    <x v="0"/>
    <n v="2075061"/>
    <n v="15242709.586100001"/>
    <n v="7.3456681929350518"/>
    <n v="0.08"/>
    <n v="166004.88"/>
    <n v="1219416.7668880001"/>
    <n v="0.6"/>
    <n v="1951066.8270208"/>
  </r>
  <r>
    <x v="0"/>
    <x v="1"/>
    <x v="1"/>
    <n v="4143735"/>
    <n v="29831634.3816"/>
    <n v="7.1992138449007959"/>
    <n v="0.08"/>
    <n v="331498.8"/>
    <n v="2386530.7505279998"/>
    <n v="0.6"/>
    <n v="3818449.2008447996"/>
  </r>
  <r>
    <x v="0"/>
    <x v="1"/>
    <x v="2"/>
    <n v="4264104.9800000004"/>
    <n v="31773036.720199998"/>
    <n v="7.4512791943973191"/>
    <n v="0.08"/>
    <n v="341128.39840000006"/>
    <n v="2541842.937616"/>
    <n v="0.6"/>
    <n v="4066948.7001856002"/>
  </r>
  <r>
    <x v="0"/>
    <x v="1"/>
    <x v="3"/>
    <n v="1706745"/>
    <n v="13021967.7707"/>
    <n v="7.6297090489206063"/>
    <n v="0.08"/>
    <n v="136539.6"/>
    <n v="1041757.4216560001"/>
    <n v="0.6"/>
    <n v="1666811.8746496001"/>
  </r>
  <r>
    <x v="0"/>
    <x v="1"/>
    <x v="4"/>
    <n v="2900187"/>
    <n v="18080004.0088"/>
    <n v="6.2340821501510071"/>
    <n v="0.08"/>
    <n v="232014.96"/>
    <n v="1446400.3207040001"/>
    <n v="0.6"/>
    <n v="2314240.5131263998"/>
  </r>
  <r>
    <x v="0"/>
    <x v="1"/>
    <x v="5"/>
    <n v="3368157"/>
    <n v="23474818.795499999"/>
    <n v="6.969633183815362"/>
    <n v="0.08"/>
    <n v="269452.56"/>
    <n v="1877985.50364"/>
    <n v="0.6"/>
    <n v="3004776.8058239999"/>
  </r>
  <r>
    <x v="0"/>
    <x v="1"/>
    <x v="6"/>
    <n v="5832649"/>
    <n v="44290753.067199998"/>
    <n v="7.5935913625524183"/>
    <n v="0.08"/>
    <n v="466611.92"/>
    <n v="3543260.2453759997"/>
    <n v="0.6"/>
    <n v="5669216.392601599"/>
  </r>
  <r>
    <x v="0"/>
    <x v="1"/>
    <x v="7"/>
    <n v="3632471"/>
    <n v="30344026.861200001"/>
    <n v="8.3535496528946833"/>
    <n v="0.08"/>
    <n v="290597.68"/>
    <n v="2427522.1488960003"/>
    <n v="0.6"/>
    <n v="3884035.4382336005"/>
  </r>
  <r>
    <x v="0"/>
    <x v="1"/>
    <x v="8"/>
    <n v="5566420"/>
    <n v="34626290.460900001"/>
    <n v="6.2205673414690237"/>
    <n v="0.08"/>
    <n v="445313.60000000003"/>
    <n v="2770103.2368720002"/>
    <n v="0.6"/>
    <n v="4432165.1789952004"/>
  </r>
  <r>
    <x v="0"/>
    <x v="1"/>
    <x v="9"/>
    <n v="2062606"/>
    <n v="15439299.9871"/>
    <n v="7.4853365049359883"/>
    <n v="0.08"/>
    <n v="165008.48000000001"/>
    <n v="1235143.9989680001"/>
    <n v="0.6"/>
    <n v="1976230.3983487999"/>
  </r>
  <r>
    <x v="0"/>
    <x v="2"/>
    <x v="0"/>
    <n v="465955"/>
    <n v="3188543.2307000002"/>
    <n v="6.8430282553036239"/>
    <n v="0.64"/>
    <n v="298211.20000000001"/>
    <n v="2040667.6676480002"/>
    <n v="0.56999999999999995"/>
    <n v="3101814.8548249602"/>
  </r>
  <r>
    <x v="0"/>
    <x v="2"/>
    <x v="1"/>
    <n v="316579"/>
    <n v="2350273.5517000002"/>
    <n v="7.4239717470204916"/>
    <n v="0.64"/>
    <n v="202610.56"/>
    <n v="1504175.0730880001"/>
    <n v="0.56999999999999995"/>
    <n v="2286346.11109376"/>
  </r>
  <r>
    <x v="0"/>
    <x v="2"/>
    <x v="2"/>
    <n v="886027"/>
    <n v="6569246.6827999996"/>
    <n v="7.4142736991084917"/>
    <n v="0.64"/>
    <n v="567057.28"/>
    <n v="4204317.8769920003"/>
    <n v="0.56999999999999995"/>
    <n v="6390563.1730278395"/>
  </r>
  <r>
    <x v="0"/>
    <x v="2"/>
    <x v="3"/>
    <n v="751083"/>
    <n v="5835139.5614"/>
    <n v="7.7689676925186699"/>
    <n v="0.64"/>
    <n v="480693.12"/>
    <n v="3734489.3192960001"/>
    <n v="0.56999999999999995"/>
    <n v="5676423.7653299198"/>
  </r>
  <r>
    <x v="0"/>
    <x v="2"/>
    <x v="4"/>
    <n v="442106"/>
    <n v="2871770.7094999999"/>
    <n v="6.4956610168149718"/>
    <n v="0.64"/>
    <n v="282947.84000000003"/>
    <n v="1837933.2540799999"/>
    <n v="0.56999999999999995"/>
    <n v="2793658.5462015993"/>
  </r>
  <r>
    <x v="0"/>
    <x v="2"/>
    <x v="5"/>
    <n v="629415"/>
    <n v="5356469.0740999999"/>
    <n v="8.5102342240016515"/>
    <n v="0.64"/>
    <n v="402825.60000000003"/>
    <n v="3428140.2074239999"/>
    <n v="0.56999999999999995"/>
    <n v="5210773.1152844792"/>
  </r>
  <r>
    <x v="0"/>
    <x v="2"/>
    <x v="6"/>
    <n v="872302"/>
    <n v="6552311.3361"/>
    <n v="7.511517038938349"/>
    <n v="0.64"/>
    <n v="558273.28000000003"/>
    <n v="4193479.2551040002"/>
    <n v="0.56999999999999995"/>
    <n v="6374088.4677580791"/>
  </r>
  <r>
    <x v="0"/>
    <x v="2"/>
    <x v="7"/>
    <n v="769089"/>
    <n v="6177614.9076000005"/>
    <n v="8.0323797474674592"/>
    <n v="0.64"/>
    <n v="492216.96"/>
    <n v="3953673.5408640006"/>
    <n v="0.56999999999999995"/>
    <n v="6009583.7821132801"/>
  </r>
  <r>
    <x v="0"/>
    <x v="2"/>
    <x v="8"/>
    <n v="701182"/>
    <n v="5318938.8520999998"/>
    <n v="7.5856751201542538"/>
    <n v="0.64"/>
    <n v="448756.47999999998"/>
    <n v="3404120.865344"/>
    <n v="0.56999999999999995"/>
    <n v="5174263.7153228791"/>
  </r>
  <r>
    <x v="0"/>
    <x v="2"/>
    <x v="9"/>
    <n v="430063"/>
    <n v="3243531.1458000001"/>
    <n v="7.5419906985720697"/>
    <n v="0.64"/>
    <n v="275240.32000000001"/>
    <n v="2075859.933312"/>
    <n v="0.56999999999999995"/>
    <n v="3155307.0986342398"/>
  </r>
  <r>
    <x v="0"/>
    <x v="3"/>
    <x v="0"/>
    <n v="33790374"/>
    <n v="101001525.7251"/>
    <n v="2.9890620839266235"/>
    <n v="0.14000000000000001"/>
    <n v="4730652.3600000003"/>
    <n v="14140213.601514"/>
    <n v="0.52"/>
    <n v="19607762.860766079"/>
  </r>
  <r>
    <x v="0"/>
    <x v="3"/>
    <x v="1"/>
    <n v="27958435"/>
    <n v="109688378.65459999"/>
    <n v="3.9232660431315272"/>
    <n v="0.14000000000000001"/>
    <n v="3914180.9000000004"/>
    <n v="15356373.011644"/>
    <n v="0.52"/>
    <n v="21294170.576146346"/>
  </r>
  <r>
    <x v="0"/>
    <x v="3"/>
    <x v="2"/>
    <n v="94628666"/>
    <n v="263097427.2105"/>
    <n v="2.7803142359684117"/>
    <n v="0.14000000000000001"/>
    <n v="13248013.240000002"/>
    <n v="36833639.809470005"/>
    <n v="0.52"/>
    <n v="51075980.535798408"/>
  </r>
  <r>
    <x v="0"/>
    <x v="3"/>
    <x v="3"/>
    <n v="45573508"/>
    <n v="152527729.78350002"/>
    <n v="3.3468507577582138"/>
    <n v="0.14000000000000001"/>
    <n v="6380291.120000001"/>
    <n v="21353882.169690005"/>
    <n v="0.52"/>
    <n v="29610716.608636808"/>
  </r>
  <r>
    <x v="0"/>
    <x v="3"/>
    <x v="4"/>
    <n v="103768913"/>
    <n v="347362504.1566"/>
    <n v="3.3474621070435613"/>
    <n v="0.14000000000000001"/>
    <n v="14527647.820000002"/>
    <n v="48630750.581924006"/>
    <n v="0.52"/>
    <n v="67434640.806934625"/>
  </r>
  <r>
    <x v="0"/>
    <x v="3"/>
    <x v="5"/>
    <n v="13579628"/>
    <n v="54087125.126000002"/>
    <n v="3.9829607354487178"/>
    <n v="0.14000000000000001"/>
    <n v="1901147.9200000002"/>
    <n v="7572197.5176400011"/>
    <n v="0.52"/>
    <n v="10500113.891127469"/>
  </r>
  <r>
    <x v="0"/>
    <x v="3"/>
    <x v="6"/>
    <n v="50775516"/>
    <n v="195382200.95590001"/>
    <n v="3.8479609139944539"/>
    <n v="0.14000000000000001"/>
    <n v="7108572.2400000002"/>
    <n v="27353508.133826006"/>
    <n v="0.52"/>
    <n v="37930197.945572063"/>
  </r>
  <r>
    <x v="0"/>
    <x v="3"/>
    <x v="7"/>
    <n v="25720726"/>
    <n v="97365377.466600001"/>
    <n v="3.7854832506127547"/>
    <n v="0.14000000000000001"/>
    <n v="3600901.64"/>
    <n v="13631152.845324002"/>
    <n v="0.52"/>
    <n v="18901865.278849285"/>
  </r>
  <r>
    <x v="0"/>
    <x v="3"/>
    <x v="8"/>
    <n v="50847293"/>
    <n v="174094479.54159999"/>
    <n v="3.4238691829985912"/>
    <n v="0.14000000000000001"/>
    <n v="7118621.0200000005"/>
    <n v="24373227.135824002"/>
    <n v="0.52"/>
    <n v="33797541.628342621"/>
  </r>
  <r>
    <x v="0"/>
    <x v="3"/>
    <x v="9"/>
    <n v="25873302"/>
    <n v="93463812.864099994"/>
    <n v="3.6123650883099496"/>
    <n v="0.14000000000000001"/>
    <n v="3622262.2800000003"/>
    <n v="13084933.800974"/>
    <n v="0.52"/>
    <n v="18144441.537350614"/>
  </r>
  <r>
    <x v="0"/>
    <x v="4"/>
    <x v="0"/>
    <n v="9199360"/>
    <n v="58076032.1734"/>
    <n v="6.3130513615512385"/>
    <n v="0.12"/>
    <n v="1103923.2"/>
    <n v="6969123.860808"/>
    <n v="0.53"/>
    <n v="9849695.0566086415"/>
  </r>
  <r>
    <x v="0"/>
    <x v="4"/>
    <x v="1"/>
    <n v="7018164"/>
    <n v="47389172.501400001"/>
    <n v="6.7523603753631294"/>
    <n v="0.12"/>
    <n v="842179.67999999993"/>
    <n v="5686700.7001679996"/>
    <n v="0.53"/>
    <n v="8037203.6562374393"/>
  </r>
  <r>
    <x v="0"/>
    <x v="4"/>
    <x v="2"/>
    <n v="5177824"/>
    <n v="32072165.0748"/>
    <n v="6.1941396762037488"/>
    <n v="0.12"/>
    <n v="621338.88"/>
    <n v="3848659.8089759997"/>
    <n v="0.53"/>
    <n v="5439439.1966860797"/>
  </r>
  <r>
    <x v="0"/>
    <x v="4"/>
    <x v="3"/>
    <n v="5905429"/>
    <n v="35615655.304499999"/>
    <n v="6.0310022022955483"/>
    <n v="0.12"/>
    <n v="708651.48"/>
    <n v="4273878.6365399994"/>
    <n v="0.53"/>
    <n v="6040415.1396431997"/>
  </r>
  <r>
    <x v="0"/>
    <x v="4"/>
    <x v="4"/>
    <n v="6098557"/>
    <n v="32645503.261799999"/>
    <n v="5.3529881350293191"/>
    <n v="0.12"/>
    <n v="731826.84"/>
    <n v="3917460.3914159997"/>
    <n v="0.53"/>
    <n v="5536677.3532012803"/>
  </r>
  <r>
    <x v="0"/>
    <x v="4"/>
    <x v="5"/>
    <n v="4633775"/>
    <n v="25655865.552999999"/>
    <n v="5.5367093898603192"/>
    <n v="0.12"/>
    <n v="556053"/>
    <n v="3078703.8663599999"/>
    <n v="0.53"/>
    <n v="4351234.7977887997"/>
  </r>
  <r>
    <x v="0"/>
    <x v="4"/>
    <x v="6"/>
    <n v="3570477"/>
    <n v="20204445.315900002"/>
    <n v="5.6587524064431731"/>
    <n v="0.12"/>
    <n v="428457.24"/>
    <n v="2424533.4379080003"/>
    <n v="0.53"/>
    <n v="3426673.9255766408"/>
  </r>
  <r>
    <x v="0"/>
    <x v="4"/>
    <x v="7"/>
    <n v="2497423"/>
    <n v="11832648.230799999"/>
    <n v="4.737943164133589"/>
    <n v="0.12"/>
    <n v="299690.76"/>
    <n v="1419917.7876959997"/>
    <n v="0.53"/>
    <n v="2006817.1399436798"/>
  </r>
  <r>
    <x v="0"/>
    <x v="4"/>
    <x v="8"/>
    <n v="4620512"/>
    <n v="25056698.7337"/>
    <n v="5.4229268820641519"/>
    <n v="0.12"/>
    <n v="554461.43999999994"/>
    <n v="3006803.8480439996"/>
    <n v="0.53"/>
    <n v="4249616.1052355198"/>
  </r>
  <r>
    <x v="0"/>
    <x v="4"/>
    <x v="9"/>
    <n v="1860317"/>
    <n v="8741830.3364000004"/>
    <n v="4.6991079135437674"/>
    <n v="0.12"/>
    <n v="223238.03999999998"/>
    <n v="1049019.6403679999"/>
    <n v="0.53"/>
    <n v="1482614.42505344"/>
  </r>
  <r>
    <x v="1"/>
    <x v="0"/>
    <x v="0"/>
    <n v="342672"/>
    <n v="5134051.4840000002"/>
    <n v="14.982407328290611"/>
    <n v="7.0000000000000007E-2"/>
    <n v="23987.040000000001"/>
    <n v="359383.60388000007"/>
    <n v="0.55000000000000004"/>
    <n v="527095.9523573335"/>
  </r>
  <r>
    <x v="1"/>
    <x v="0"/>
    <x v="1"/>
    <n v="275738"/>
    <n v="4063201.5443000002"/>
    <n v="14.735732994001554"/>
    <n v="7.0000000000000007E-2"/>
    <n v="19301.660000000003"/>
    <n v="284424.10810100002"/>
    <n v="0.55000000000000004"/>
    <n v="417155.3585481334"/>
  </r>
  <r>
    <x v="1"/>
    <x v="0"/>
    <x v="2"/>
    <n v="247213"/>
    <n v="3578904.7765000002"/>
    <n v="14.477008800103555"/>
    <n v="7.0000000000000007E-2"/>
    <n v="17304.91"/>
    <n v="250523.33435500003"/>
    <n v="0.55000000000000004"/>
    <n v="367434.22372066672"/>
  </r>
  <r>
    <x v="1"/>
    <x v="0"/>
    <x v="3"/>
    <n v="436936"/>
    <n v="6010208.7914000005"/>
    <n v="13.755352709321274"/>
    <n v="7.0000000000000007E-2"/>
    <n v="30585.520000000004"/>
    <n v="420714.61539800005"/>
    <n v="0.55000000000000004"/>
    <n v="617048.1025837335"/>
  </r>
  <r>
    <x v="1"/>
    <x v="0"/>
    <x v="4"/>
    <n v="354496"/>
    <n v="4821152.2655999996"/>
    <n v="13.600018803033038"/>
    <n v="7.0000000000000007E-2"/>
    <n v="24814.720000000001"/>
    <n v="337480.65859200002"/>
    <n v="0.55000000000000004"/>
    <n v="494971.63260160008"/>
  </r>
  <r>
    <x v="1"/>
    <x v="0"/>
    <x v="5"/>
    <n v="312124"/>
    <n v="4203564.5952000003"/>
    <n v="13.46761093411593"/>
    <n v="7.0000000000000007E-2"/>
    <n v="21848.68"/>
    <n v="294249.52166400006"/>
    <n v="0.55000000000000004"/>
    <n v="431565.96510720014"/>
  </r>
  <r>
    <x v="1"/>
    <x v="0"/>
    <x v="6"/>
    <n v="173427"/>
    <n v="2232894.3849999998"/>
    <n v="12.875125470659123"/>
    <n v="7.0000000000000007E-2"/>
    <n v="12139.890000000001"/>
    <n v="156302.60694999999"/>
    <n v="0.55000000000000004"/>
    <n v="229243.82352666665"/>
  </r>
  <r>
    <x v="1"/>
    <x v="0"/>
    <x v="7"/>
    <n v="164048"/>
    <n v="2262431.3075000001"/>
    <n v="13.791276379474301"/>
    <n v="7.0000000000000007E-2"/>
    <n v="11483.36"/>
    <n v="158370.19152500003"/>
    <n v="0.55000000000000004"/>
    <n v="232276.28090333342"/>
  </r>
  <r>
    <x v="1"/>
    <x v="0"/>
    <x v="8"/>
    <n v="184447"/>
    <n v="2462002.452"/>
    <n v="13.348021122598904"/>
    <n v="7.0000000000000007E-2"/>
    <n v="12911.29"/>
    <n v="172340.17164000002"/>
    <n v="0.55000000000000004"/>
    <n v="252765.58507200005"/>
  </r>
  <r>
    <x v="1"/>
    <x v="0"/>
    <x v="9"/>
    <n v="209503"/>
    <n v="2880044.2694000001"/>
    <n v="13.747031161367618"/>
    <n v="7.0000000000000007E-2"/>
    <n v="14665.210000000001"/>
    <n v="201603.09885800001"/>
    <n v="0.55000000000000004"/>
    <n v="295684.54499173339"/>
  </r>
  <r>
    <x v="1"/>
    <x v="1"/>
    <x v="0"/>
    <n v="10729152"/>
    <n v="82056422.493399993"/>
    <n v="7.6479876968282294"/>
    <n v="0.17"/>
    <n v="1823955.84"/>
    <n v="13949591.823878"/>
    <n v="0.6"/>
    <n v="22319346.918204799"/>
  </r>
  <r>
    <x v="1"/>
    <x v="1"/>
    <x v="1"/>
    <n v="12369065"/>
    <n v="112815596.87980001"/>
    <n v="9.1207861612660306"/>
    <n v="0.17"/>
    <n v="2102741.0500000003"/>
    <n v="19178651.469566002"/>
    <n v="0.6"/>
    <n v="30685842.351305604"/>
  </r>
  <r>
    <x v="1"/>
    <x v="1"/>
    <x v="2"/>
    <n v="12570521.5"/>
    <n v="98215525.815599993"/>
    <n v="7.8131623907249983"/>
    <n v="0.17"/>
    <n v="2136988.6550000003"/>
    <n v="16696639.388652001"/>
    <n v="0.6"/>
    <n v="26714623.021843199"/>
  </r>
  <r>
    <x v="1"/>
    <x v="1"/>
    <x v="3"/>
    <n v="6678435.7999999998"/>
    <n v="60738294.9815"/>
    <n v="9.0946887565348771"/>
    <n v="0.17"/>
    <n v="1135334.0860000001"/>
    <n v="10325510.146855"/>
    <n v="0.6"/>
    <n v="16520816.234967999"/>
  </r>
  <r>
    <x v="1"/>
    <x v="1"/>
    <x v="4"/>
    <n v="11626457"/>
    <n v="95305565.954500005"/>
    <n v="8.1973008591095304"/>
    <n v="0.17"/>
    <n v="1976497.6900000002"/>
    <n v="16201946.212265002"/>
    <n v="0.6"/>
    <n v="25923113.939624"/>
  </r>
  <r>
    <x v="1"/>
    <x v="1"/>
    <x v="5"/>
    <n v="9115620"/>
    <n v="73424433.314899996"/>
    <n v="8.0547931259640038"/>
    <n v="0.17"/>
    <n v="1549655.4000000001"/>
    <n v="12482153.663533"/>
    <n v="0.6"/>
    <n v="19971445.861652799"/>
  </r>
  <r>
    <x v="1"/>
    <x v="1"/>
    <x v="6"/>
    <n v="11426914"/>
    <n v="95443819.660699993"/>
    <n v="8.3525455482293811"/>
    <n v="0.17"/>
    <n v="1942575.3800000001"/>
    <n v="16225449.342319001"/>
    <n v="0.6"/>
    <n v="25960718.947710399"/>
  </r>
  <r>
    <x v="1"/>
    <x v="1"/>
    <x v="7"/>
    <n v="11482406"/>
    <n v="96668837.715499997"/>
    <n v="8.4188660212415414"/>
    <n v="0.17"/>
    <n v="1952009.0200000003"/>
    <n v="16433702.411635"/>
    <n v="0.6"/>
    <n v="26293923.858615998"/>
  </r>
  <r>
    <x v="1"/>
    <x v="1"/>
    <x v="8"/>
    <n v="9374706"/>
    <n v="74662109.917999998"/>
    <n v="7.9642081488208802"/>
    <n v="0.17"/>
    <n v="1593700.02"/>
    <n v="12692558.68606"/>
    <n v="0.6"/>
    <n v="20308093.897696"/>
  </r>
  <r>
    <x v="1"/>
    <x v="1"/>
    <x v="9"/>
    <n v="4676449"/>
    <n v="34978968.268700004"/>
    <n v="7.4798139076679773"/>
    <n v="0.17"/>
    <n v="794996.33000000007"/>
    <n v="5946424.6056790007"/>
    <n v="0.6"/>
    <n v="9514279.3690864015"/>
  </r>
  <r>
    <x v="1"/>
    <x v="2"/>
    <x v="0"/>
    <n v="2304408"/>
    <n v="14567462.6131"/>
    <n v="6.3215639822028047"/>
    <n v="0.69"/>
    <n v="1590041.5199999998"/>
    <n v="10051549.203039"/>
    <n v="0.56999999999999995"/>
    <n v="15278354.788619278"/>
  </r>
  <r>
    <x v="1"/>
    <x v="2"/>
    <x v="1"/>
    <n v="2083871"/>
    <n v="14101885.5693"/>
    <n v="6.7671586049712289"/>
    <n v="0.69"/>
    <n v="1437870.99"/>
    <n v="9730301.0428169984"/>
    <n v="0.56999999999999995"/>
    <n v="14790057.585081836"/>
  </r>
  <r>
    <x v="1"/>
    <x v="2"/>
    <x v="2"/>
    <n v="3873514"/>
    <n v="25117928.4848"/>
    <n v="6.484532774323263"/>
    <n v="0.69"/>
    <n v="2672724.6599999997"/>
    <n v="17331370.654511999"/>
    <n v="0.56999999999999995"/>
    <n v="26343683.394858237"/>
  </r>
  <r>
    <x v="1"/>
    <x v="2"/>
    <x v="3"/>
    <n v="3789405"/>
    <n v="28280543.669"/>
    <n v="7.4630565138854248"/>
    <n v="0.69"/>
    <n v="2614689.4499999997"/>
    <n v="19513575.131609999"/>
    <n v="0.56999999999999995"/>
    <n v="29660634.200047195"/>
  </r>
  <r>
    <x v="1"/>
    <x v="2"/>
    <x v="4"/>
    <n v="2158670"/>
    <n v="15030282.0394"/>
    <n v="6.9627511566844404"/>
    <n v="0.69"/>
    <n v="1489482.2999999998"/>
    <n v="10370894.607185999"/>
    <n v="0.56999999999999995"/>
    <n v="15763759.802922718"/>
  </r>
  <r>
    <x v="1"/>
    <x v="2"/>
    <x v="5"/>
    <n v="2327503"/>
    <n v="17091906.1461"/>
    <n v="7.3434518220169851"/>
    <n v="0.69"/>
    <n v="1605977.0699999998"/>
    <n v="11793415.240808999"/>
    <n v="0.56999999999999995"/>
    <n v="17925991.166029677"/>
  </r>
  <r>
    <x v="1"/>
    <x v="2"/>
    <x v="6"/>
    <n v="2873620"/>
    <n v="17715571.562899999"/>
    <n v="6.1648970855227896"/>
    <n v="0.69"/>
    <n v="1982797.7999999998"/>
    <n v="12223744.378400998"/>
    <n v="0.56999999999999995"/>
    <n v="18580091.455169518"/>
  </r>
  <r>
    <x v="1"/>
    <x v="2"/>
    <x v="7"/>
    <n v="1602466"/>
    <n v="12790127.4691"/>
    <n v="7.9815281379448928"/>
    <n v="0.69"/>
    <n v="1105701.5399999998"/>
    <n v="8825187.9536789991"/>
    <n v="0.56999999999999995"/>
    <n v="13414285.689592078"/>
  </r>
  <r>
    <x v="1"/>
    <x v="2"/>
    <x v="8"/>
    <n v="1712692"/>
    <n v="12521430.346799999"/>
    <n v="7.3109644622617491"/>
    <n v="0.69"/>
    <n v="1181757.48"/>
    <n v="8639786.9392919987"/>
    <n v="0.56999999999999995"/>
    <n v="13132476.147723837"/>
  </r>
  <r>
    <x v="1"/>
    <x v="2"/>
    <x v="9"/>
    <n v="1159279"/>
    <n v="7961636.6580999997"/>
    <n v="6.867748538617537"/>
    <n v="0.69"/>
    <n v="799902.50999999989"/>
    <n v="5493529.2940889997"/>
    <n v="0.56999999999999995"/>
    <n v="8350164.527015279"/>
  </r>
  <r>
    <x v="1"/>
    <x v="3"/>
    <x v="0"/>
    <n v="59079411"/>
    <n v="219187889.64340001"/>
    <n v="3.7100554310434819"/>
    <n v="0.98"/>
    <n v="57897822.780000001"/>
    <n v="214804131.850532"/>
    <n v="0.52"/>
    <n v="297861729.49940437"/>
  </r>
  <r>
    <x v="1"/>
    <x v="3"/>
    <x v="1"/>
    <n v="21302122"/>
    <n v="76150042.148800001"/>
    <n v="3.57476321602139"/>
    <n v="0.98"/>
    <n v="20876079.559999999"/>
    <n v="74627041.305823997"/>
    <n v="0.52"/>
    <n v="103482830.61074261"/>
  </r>
  <r>
    <x v="1"/>
    <x v="3"/>
    <x v="2"/>
    <n v="94779875"/>
    <n v="304977147.74809998"/>
    <n v="3.2177416117936426"/>
    <n v="0.98"/>
    <n v="92884277.5"/>
    <n v="298877604.79313797"/>
    <n v="0.52"/>
    <n v="414443611.97981805"/>
  </r>
  <r>
    <x v="1"/>
    <x v="3"/>
    <x v="3"/>
    <n v="37186408.700000003"/>
    <n v="131434182.6065"/>
    <n v="3.5344682963832423"/>
    <n v="0.98"/>
    <n v="36442680.526000001"/>
    <n v="128805498.95436999"/>
    <n v="0.52"/>
    <n v="178610291.88339308"/>
  </r>
  <r>
    <x v="1"/>
    <x v="3"/>
    <x v="4"/>
    <n v="35151092"/>
    <n v="128041037.2156"/>
    <n v="3.6425905976292285"/>
    <n v="0.98"/>
    <n v="34448070.159999996"/>
    <n v="125480216.471288"/>
    <n v="0.52"/>
    <n v="173999233.50685269"/>
  </r>
  <r>
    <x v="1"/>
    <x v="3"/>
    <x v="5"/>
    <n v="18385506"/>
    <n v="72636869.965900004"/>
    <n v="3.9507680651215149"/>
    <n v="0.98"/>
    <n v="18017795.879999999"/>
    <n v="71184132.566582009"/>
    <n v="0.52"/>
    <n v="98708663.825660393"/>
  </r>
  <r>
    <x v="1"/>
    <x v="3"/>
    <x v="6"/>
    <n v="34801951"/>
    <n v="128042103.1168"/>
    <n v="3.6791645134147792"/>
    <n v="0.98"/>
    <n v="34105911.979999997"/>
    <n v="125481261.054464"/>
    <n v="0.52"/>
    <n v="174000681.99552342"/>
  </r>
  <r>
    <x v="1"/>
    <x v="3"/>
    <x v="7"/>
    <n v="8082745"/>
    <n v="31280263.6567"/>
    <n v="3.870005011502899"/>
    <n v="0.98"/>
    <n v="7921090.0999999996"/>
    <n v="30654658.383566"/>
    <n v="0.52"/>
    <n v="42507792.958544858"/>
  </r>
  <r>
    <x v="1"/>
    <x v="3"/>
    <x v="8"/>
    <n v="21149905"/>
    <n v="78026222.923099995"/>
    <n v="3.6891996878047442"/>
    <n v="0.98"/>
    <n v="20726906.899999999"/>
    <n v="76465698.464637995"/>
    <n v="0.52"/>
    <n v="106032435.20429802"/>
  </r>
  <r>
    <x v="1"/>
    <x v="3"/>
    <x v="9"/>
    <n v="8058812"/>
    <n v="28362474.936999999"/>
    <n v="3.5194362316678935"/>
    <n v="0.98"/>
    <n v="7897635.7599999998"/>
    <n v="27795225.43826"/>
    <n v="0.52"/>
    <n v="38542712.607720532"/>
  </r>
  <r>
    <x v="1"/>
    <x v="4"/>
    <x v="0"/>
    <n v="1235374"/>
    <n v="7519472.2565000001"/>
    <n v="6.0867982137393213"/>
    <n v="0.28999999999999998"/>
    <n v="358258.45999999996"/>
    <n v="2180646.9543849998"/>
    <n v="0.53"/>
    <n v="3081981.0288641336"/>
  </r>
  <r>
    <x v="1"/>
    <x v="4"/>
    <x v="1"/>
    <n v="944142.6"/>
    <n v="5928805.7192000002"/>
    <n v="6.2795659460763664"/>
    <n v="0.28999999999999998"/>
    <n v="273801.35399999999"/>
    <n v="1719353.658568"/>
    <n v="0.53"/>
    <n v="2430019.8374427734"/>
  </r>
  <r>
    <x v="1"/>
    <x v="4"/>
    <x v="2"/>
    <n v="970397"/>
    <n v="5869230.7194999997"/>
    <n v="6.0482778898739378"/>
    <n v="0.28999999999999998"/>
    <n v="281415.13"/>
    <n v="1702076.9086549997"/>
    <n v="0.53"/>
    <n v="2405602.0308990665"/>
  </r>
  <r>
    <x v="1"/>
    <x v="4"/>
    <x v="3"/>
    <n v="1663861"/>
    <n v="9742558.3233000003"/>
    <n v="5.8553919608068226"/>
    <n v="0.28999999999999998"/>
    <n v="482519.68999999994"/>
    <n v="2825341.9137570001"/>
    <n v="0.53"/>
    <n v="3993149.9047765601"/>
  </r>
  <r>
    <x v="1"/>
    <x v="4"/>
    <x v="4"/>
    <n v="1523912"/>
    <n v="8467832.0885000005"/>
    <n v="5.5566411239625388"/>
    <n v="0.28999999999999998"/>
    <n v="441934.48"/>
    <n v="2455671.3056649999"/>
    <n v="0.53"/>
    <n v="3470682.1120065334"/>
  </r>
  <r>
    <x v="1"/>
    <x v="4"/>
    <x v="5"/>
    <n v="1500683"/>
    <n v="8524952.0404000003"/>
    <n v="5.6807147414877095"/>
    <n v="0.28999999999999998"/>
    <n v="435198.06999999995"/>
    <n v="2472236.0917159999"/>
    <n v="0.53"/>
    <n v="3494093.6762919468"/>
  </r>
  <r>
    <x v="1"/>
    <x v="4"/>
    <x v="6"/>
    <n v="796607"/>
    <n v="4496960.2482000003"/>
    <n v="5.645142772031881"/>
    <n v="0.28999999999999998"/>
    <n v="231016.02999999997"/>
    <n v="1304118.4719779999"/>
    <n v="0.53"/>
    <n v="1843154.1070622399"/>
  </r>
  <r>
    <x v="1"/>
    <x v="4"/>
    <x v="7"/>
    <n v="631675"/>
    <n v="3388430.6072999998"/>
    <n v="5.3641993229113067"/>
    <n v="0.28999999999999998"/>
    <n v="183185.75"/>
    <n v="982644.87611699989"/>
    <n v="0.53"/>
    <n v="1388804.7582453599"/>
  </r>
  <r>
    <x v="1"/>
    <x v="4"/>
    <x v="8"/>
    <n v="1005692"/>
    <n v="5621492.5110999998"/>
    <n v="5.5896760748817726"/>
    <n v="0.28999999999999998"/>
    <n v="291650.68"/>
    <n v="1630232.8282189998"/>
    <n v="0.53"/>
    <n v="2304062.3972161864"/>
  </r>
  <r>
    <x v="1"/>
    <x v="4"/>
    <x v="9"/>
    <n v="453021"/>
    <n v="2342837.5060999999"/>
    <n v="5.1715869818396936"/>
    <n v="0.28999999999999998"/>
    <n v="131376.09"/>
    <n v="679422.87676899997"/>
    <n v="0.53"/>
    <n v="960250.99916685326"/>
  </r>
  <r>
    <x v="2"/>
    <x v="5"/>
    <x v="10"/>
    <m/>
    <m/>
    <m/>
    <m/>
    <m/>
    <m/>
    <m/>
    <m/>
  </r>
  <r>
    <x v="2"/>
    <x v="5"/>
    <x v="10"/>
    <m/>
    <m/>
    <m/>
    <m/>
    <m/>
    <m/>
    <m/>
    <m/>
  </r>
  <r>
    <x v="2"/>
    <x v="5"/>
    <x v="1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2BD14-EF4B-4D8A-9702-D7193CC6485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4:W67" firstHeaderRow="1" firstDataRow="3" firstDataCol="3" rowPageCount="2" colPageCount="1"/>
  <pivotFields count="6"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0"/>
        <item x="0"/>
        <item x="1"/>
        <item x="2"/>
        <item x="3"/>
        <item x="4"/>
        <item x="5"/>
        <item x="6"/>
        <item x="7"/>
        <item x="8"/>
        <item x="9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2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7">
        <item x="5"/>
        <item x="0"/>
        <item x="4"/>
        <item x="2"/>
        <item x="3"/>
        <item x="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multipleItemSelectionAllowed="1" showAll="0" defaultSubtotal="0">
      <items count="361">
        <item x="349"/>
        <item h="1" x="0"/>
        <item x="169"/>
        <item x="170"/>
        <item x="157"/>
        <item x="156"/>
        <item x="216"/>
        <item x="207"/>
        <item x="211"/>
        <item x="171"/>
        <item x="159"/>
        <item x="210"/>
        <item x="165"/>
        <item x="209"/>
        <item x="229"/>
        <item x="236"/>
        <item x="322"/>
        <item x="208"/>
        <item x="32"/>
        <item x="36"/>
        <item x="158"/>
        <item x="203"/>
        <item x="217"/>
        <item x="164"/>
        <item x="84"/>
        <item x="204"/>
        <item x="63"/>
        <item x="167"/>
        <item x="219"/>
        <item x="155"/>
        <item x="168"/>
        <item x="213"/>
        <item x="218"/>
        <item x="85"/>
        <item x="212"/>
        <item x="82"/>
        <item x="166"/>
        <item x="70"/>
        <item x="162"/>
        <item x="48"/>
        <item x="160"/>
        <item x="214"/>
        <item x="215"/>
        <item x="161"/>
        <item x="83"/>
        <item x="62"/>
        <item x="321"/>
        <item x="68"/>
        <item x="117"/>
        <item x="86"/>
        <item x="81"/>
        <item x="31"/>
        <item x="121"/>
        <item x="231"/>
        <item x="124"/>
        <item x="230"/>
        <item x="342"/>
        <item x="6"/>
        <item x="40"/>
        <item x="329"/>
        <item x="326"/>
        <item x="69"/>
        <item x="324"/>
        <item x="34"/>
        <item x="44"/>
        <item x="320"/>
        <item x="118"/>
        <item x="233"/>
        <item x="67"/>
        <item x="235"/>
        <item x="205"/>
        <item x="314"/>
        <item x="317"/>
        <item x="189"/>
        <item x="163"/>
        <item x="228"/>
        <item x="319"/>
        <item x="123"/>
        <item x="47"/>
        <item x="327"/>
        <item x="120"/>
        <item x="248"/>
        <item x="35"/>
        <item x="194"/>
        <item x="5"/>
        <item x="193"/>
        <item x="318"/>
        <item x="234"/>
        <item x="66"/>
        <item x="45"/>
        <item x="192"/>
        <item x="188"/>
        <item x="33"/>
        <item x="196"/>
        <item x="226"/>
        <item x="237"/>
        <item x="325"/>
        <item x="315"/>
        <item x="328"/>
        <item x="232"/>
        <item x="38"/>
        <item x="200"/>
        <item x="247"/>
        <item x="311"/>
        <item x="37"/>
        <item x="332"/>
        <item x="223"/>
        <item x="61"/>
        <item x="316"/>
        <item x="239"/>
        <item x="206"/>
        <item x="126"/>
        <item x="202"/>
        <item x="323"/>
        <item x="190"/>
        <item x="128"/>
        <item x="191"/>
        <item x="65"/>
        <item x="39"/>
        <item x="134"/>
        <item x="246"/>
        <item x="127"/>
        <item x="310"/>
        <item x="46"/>
        <item x="346"/>
        <item x="220"/>
        <item x="224"/>
        <item x="313"/>
        <item x="50"/>
        <item x="122"/>
        <item x="221"/>
        <item x="238"/>
        <item x="7"/>
        <item x="243"/>
        <item x="4"/>
        <item x="3"/>
        <item x="347"/>
        <item x="197"/>
        <item x="198"/>
        <item x="333"/>
        <item x="132"/>
        <item x="119"/>
        <item x="312"/>
        <item x="43"/>
        <item x="133"/>
        <item x="222"/>
        <item x="1"/>
        <item x="8"/>
        <item x="2"/>
        <item x="241"/>
        <item x="225"/>
        <item x="249"/>
        <item x="199"/>
        <item x="340"/>
        <item x="348"/>
        <item x="344"/>
        <item x="152"/>
        <item x="146"/>
        <item x="147"/>
        <item x="75"/>
        <item x="154"/>
        <item x="49"/>
        <item x="242"/>
        <item x="244"/>
        <item x="201"/>
        <item x="150"/>
        <item x="227"/>
        <item x="336"/>
        <item x="151"/>
        <item x="24"/>
        <item x="341"/>
        <item x="343"/>
        <item x="245"/>
        <item x="72"/>
        <item x="148"/>
        <item x="129"/>
        <item x="9"/>
        <item x="184"/>
        <item x="257"/>
        <item x="187"/>
        <item x="42"/>
        <item x="195"/>
        <item x="345"/>
        <item x="74"/>
        <item x="240"/>
        <item x="21"/>
        <item x="153"/>
        <item x="339"/>
        <item x="22"/>
        <item x="338"/>
        <item x="23"/>
        <item x="183"/>
        <item x="334"/>
        <item x="73"/>
        <item x="30"/>
        <item x="186"/>
        <item x="145"/>
        <item x="330"/>
        <item x="259"/>
        <item x="41"/>
        <item x="149"/>
        <item x="26"/>
        <item x="335"/>
        <item x="185"/>
        <item x="182"/>
        <item x="27"/>
        <item x="71"/>
        <item x="28"/>
        <item x="331"/>
        <item x="10"/>
        <item x="109"/>
        <item x="256"/>
        <item x="76"/>
        <item x="337"/>
        <item x="77"/>
        <item x="139"/>
        <item x="138"/>
        <item x="130"/>
        <item x="258"/>
        <item x="255"/>
        <item x="16"/>
        <item x="131"/>
        <item x="107"/>
        <item x="140"/>
        <item x="29"/>
        <item x="125"/>
        <item x="64"/>
        <item x="252"/>
        <item x="135"/>
        <item x="80"/>
        <item x="277"/>
        <item x="25"/>
        <item x="250"/>
        <item x="251"/>
        <item x="254"/>
        <item x="253"/>
        <item x="108"/>
        <item x="79"/>
        <item x="78"/>
        <item x="12"/>
        <item x="136"/>
        <item x="111"/>
        <item x="137"/>
        <item x="141"/>
        <item x="115"/>
        <item x="279"/>
        <item x="276"/>
        <item x="112"/>
        <item x="20"/>
        <item x="142"/>
        <item x="113"/>
        <item x="110"/>
        <item x="14"/>
        <item x="271"/>
        <item x="143"/>
        <item x="114"/>
        <item x="18"/>
        <item x="273"/>
        <item x="274"/>
        <item x="116"/>
        <item x="144"/>
        <item x="309"/>
        <item x="275"/>
        <item x="17"/>
        <item x="278"/>
        <item x="307"/>
        <item x="359"/>
        <item x="19"/>
        <item x="267"/>
        <item x="268"/>
        <item x="301"/>
        <item x="13"/>
        <item x="308"/>
        <item x="106"/>
        <item x="306"/>
        <item x="11"/>
        <item x="305"/>
        <item x="60"/>
        <item x="269"/>
        <item x="15"/>
        <item x="356"/>
        <item x="102"/>
        <item x="357"/>
        <item x="262"/>
        <item x="105"/>
        <item x="58"/>
        <item x="98"/>
        <item x="261"/>
        <item x="302"/>
        <item x="304"/>
        <item x="358"/>
        <item x="354"/>
        <item x="355"/>
        <item x="97"/>
        <item x="300"/>
        <item x="103"/>
        <item x="270"/>
        <item x="99"/>
        <item x="57"/>
        <item x="303"/>
        <item x="353"/>
        <item x="272"/>
        <item x="350"/>
        <item x="104"/>
        <item x="352"/>
        <item x="100"/>
        <item x="266"/>
        <item x="59"/>
        <item x="351"/>
        <item x="101"/>
        <item x="56"/>
        <item x="260"/>
        <item x="265"/>
        <item x="51"/>
        <item x="54"/>
        <item x="52"/>
        <item x="264"/>
        <item x="53"/>
        <item x="263"/>
        <item x="55"/>
        <item x="297"/>
        <item x="299"/>
        <item x="291"/>
        <item x="290"/>
        <item x="293"/>
        <item x="292"/>
        <item x="296"/>
        <item x="294"/>
        <item x="295"/>
        <item x="298"/>
        <item x="179"/>
        <item x="289"/>
        <item x="287"/>
        <item x="94"/>
        <item x="181"/>
        <item x="177"/>
        <item x="280"/>
        <item x="281"/>
        <item x="178"/>
        <item x="288"/>
        <item x="96"/>
        <item x="180"/>
        <item x="174"/>
        <item x="285"/>
        <item x="93"/>
        <item x="282"/>
        <item x="176"/>
        <item x="92"/>
        <item x="175"/>
        <item x="284"/>
        <item x="91"/>
        <item x="90"/>
        <item x="87"/>
        <item x="88"/>
        <item x="173"/>
        <item x="89"/>
        <item x="172"/>
        <item x="283"/>
        <item x="286"/>
        <item x="95"/>
        <item x="3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multipleItemSelectionAllowed="1" showAll="0" defaultSubtotal="0">
      <items count="357">
        <item h="1" x="0"/>
        <item x="158"/>
        <item x="171"/>
        <item x="172"/>
        <item x="211"/>
        <item x="161"/>
        <item x="167"/>
        <item x="210"/>
        <item x="227"/>
        <item x="207"/>
        <item x="32"/>
        <item x="36"/>
        <item x="84"/>
        <item x="234"/>
        <item x="319"/>
        <item x="166"/>
        <item x="159"/>
        <item x="63"/>
        <item x="160"/>
        <item x="157"/>
        <item x="169"/>
        <item x="85"/>
        <item x="82"/>
        <item x="170"/>
        <item x="70"/>
        <item x="48"/>
        <item x="209"/>
        <item x="216"/>
        <item x="162"/>
        <item x="168"/>
        <item x="164"/>
        <item x="213"/>
        <item x="218"/>
        <item x="212"/>
        <item x="208"/>
        <item x="83"/>
        <item x="62"/>
        <item x="68"/>
        <item x="163"/>
        <item x="203"/>
        <item x="214"/>
        <item x="86"/>
        <item x="120"/>
        <item x="81"/>
        <item x="215"/>
        <item x="318"/>
        <item x="126"/>
        <item x="204"/>
        <item x="123"/>
        <item x="31"/>
        <item x="69"/>
        <item x="44"/>
        <item x="217"/>
        <item x="40"/>
        <item x="67"/>
        <item x="34"/>
        <item x="117"/>
        <item x="229"/>
        <item x="125"/>
        <item x="6"/>
        <item x="228"/>
        <item x="47"/>
        <item x="165"/>
        <item x="226"/>
        <item x="66"/>
        <item x="45"/>
        <item x="325"/>
        <item x="311"/>
        <item x="35"/>
        <item x="317"/>
        <item x="224"/>
        <item x="320"/>
        <item x="233"/>
        <item x="231"/>
        <item x="61"/>
        <item x="33"/>
        <item x="314"/>
        <item x="222"/>
        <item x="324"/>
        <item x="315"/>
        <item x="65"/>
        <item x="245"/>
        <item x="38"/>
        <item x="312"/>
        <item x="37"/>
        <item x="323"/>
        <item x="119"/>
        <item x="316"/>
        <item x="46"/>
        <item x="322"/>
        <item x="313"/>
        <item x="308"/>
        <item x="5"/>
        <item x="321"/>
        <item x="244"/>
        <item x="219"/>
        <item x="50"/>
        <item x="232"/>
        <item x="124"/>
        <item x="39"/>
        <item x="235"/>
        <item x="230"/>
        <item x="220"/>
        <item x="237"/>
        <item x="307"/>
        <item x="43"/>
        <item x="221"/>
        <item x="118"/>
        <item x="328"/>
        <item x="240"/>
        <item x="243"/>
        <item x="310"/>
        <item x="223"/>
        <item x="309"/>
        <item x="236"/>
        <item x="345"/>
        <item x="246"/>
        <item x="75"/>
        <item x="343"/>
        <item x="49"/>
        <item x="154"/>
        <item x="121"/>
        <item x="148"/>
        <item x="189"/>
        <item x="7"/>
        <item x="4"/>
        <item x="3"/>
        <item x="152"/>
        <item x="329"/>
        <item x="342"/>
        <item x="156"/>
        <item x="338"/>
        <item x="149"/>
        <item x="239"/>
        <item x="153"/>
        <item x="205"/>
        <item x="72"/>
        <item x="1"/>
        <item x="24"/>
        <item x="8"/>
        <item x="2"/>
        <item x="150"/>
        <item x="122"/>
        <item x="188"/>
        <item x="340"/>
        <item x="42"/>
        <item x="344"/>
        <item x="241"/>
        <item x="332"/>
        <item x="336"/>
        <item x="74"/>
        <item x="339"/>
        <item x="337"/>
        <item x="155"/>
        <item x="21"/>
        <item x="73"/>
        <item x="242"/>
        <item x="335"/>
        <item x="22"/>
        <item x="23"/>
        <item x="225"/>
        <item x="341"/>
        <item x="190"/>
        <item x="334"/>
        <item x="41"/>
        <item x="30"/>
        <item x="191"/>
        <item x="151"/>
        <item x="71"/>
        <item x="326"/>
        <item x="26"/>
        <item x="254"/>
        <item x="147"/>
        <item x="330"/>
        <item x="76"/>
        <item x="206"/>
        <item x="27"/>
        <item x="128"/>
        <item x="28"/>
        <item x="331"/>
        <item x="9"/>
        <item x="202"/>
        <item x="77"/>
        <item x="238"/>
        <item x="130"/>
        <item x="327"/>
        <item x="136"/>
        <item x="333"/>
        <item x="129"/>
        <item x="256"/>
        <item x="64"/>
        <item x="253"/>
        <item x="29"/>
        <item x="134"/>
        <item x="80"/>
        <item x="10"/>
        <item x="135"/>
        <item x="274"/>
        <item x="25"/>
        <item x="255"/>
        <item x="79"/>
        <item x="252"/>
        <item x="78"/>
        <item x="16"/>
        <item x="249"/>
        <item x="141"/>
        <item x="247"/>
        <item x="251"/>
        <item x="140"/>
        <item x="248"/>
        <item x="250"/>
        <item x="185"/>
        <item x="187"/>
        <item x="142"/>
        <item x="276"/>
        <item x="194"/>
        <item x="193"/>
        <item x="192"/>
        <item x="137"/>
        <item x="273"/>
        <item x="184"/>
        <item x="131"/>
        <item x="196"/>
        <item x="109"/>
        <item x="12"/>
        <item x="268"/>
        <item x="200"/>
        <item x="186"/>
        <item x="183"/>
        <item x="107"/>
        <item x="270"/>
        <item x="271"/>
        <item x="20"/>
        <item x="138"/>
        <item x="143"/>
        <item x="14"/>
        <item x="272"/>
        <item x="275"/>
        <item x="306"/>
        <item x="304"/>
        <item x="139"/>
        <item x="264"/>
        <item x="111"/>
        <item x="197"/>
        <item x="198"/>
        <item x="18"/>
        <item x="132"/>
        <item x="265"/>
        <item x="144"/>
        <item x="115"/>
        <item x="298"/>
        <item x="133"/>
        <item x="113"/>
        <item x="305"/>
        <item x="145"/>
        <item x="127"/>
        <item x="199"/>
        <item x="303"/>
        <item x="60"/>
        <item x="302"/>
        <item x="266"/>
        <item x="17"/>
        <item x="19"/>
        <item x="355"/>
        <item x="58"/>
        <item x="258"/>
        <item x="259"/>
        <item x="299"/>
        <item x="201"/>
        <item x="146"/>
        <item x="301"/>
        <item x="267"/>
        <item x="13"/>
        <item x="297"/>
        <item x="57"/>
        <item x="269"/>
        <item x="300"/>
        <item x="11"/>
        <item x="59"/>
        <item x="263"/>
        <item x="352"/>
        <item x="350"/>
        <item x="56"/>
        <item x="257"/>
        <item x="15"/>
        <item x="195"/>
        <item x="108"/>
        <item x="351"/>
        <item x="349"/>
        <item x="116"/>
        <item x="51"/>
        <item x="262"/>
        <item x="54"/>
        <item x="353"/>
        <item x="346"/>
        <item x="52"/>
        <item x="348"/>
        <item x="354"/>
        <item x="261"/>
        <item x="53"/>
        <item x="114"/>
        <item x="347"/>
        <item x="112"/>
        <item x="110"/>
        <item x="260"/>
        <item x="106"/>
        <item x="55"/>
        <item x="98"/>
        <item x="102"/>
        <item x="105"/>
        <item x="97"/>
        <item x="294"/>
        <item x="296"/>
        <item x="288"/>
        <item x="103"/>
        <item x="99"/>
        <item x="287"/>
        <item x="104"/>
        <item x="101"/>
        <item x="290"/>
        <item x="100"/>
        <item x="289"/>
        <item x="291"/>
        <item x="293"/>
        <item x="292"/>
        <item x="295"/>
        <item x="286"/>
        <item x="284"/>
        <item x="277"/>
        <item x="278"/>
        <item x="180"/>
        <item x="285"/>
        <item x="282"/>
        <item x="279"/>
        <item x="94"/>
        <item x="281"/>
        <item x="182"/>
        <item x="178"/>
        <item x="280"/>
        <item x="283"/>
        <item x="96"/>
        <item x="179"/>
        <item x="93"/>
        <item x="181"/>
        <item x="175"/>
        <item x="92"/>
        <item x="177"/>
        <item x="176"/>
        <item x="91"/>
        <item x="90"/>
        <item x="87"/>
        <item x="89"/>
        <item x="88"/>
        <item x="174"/>
        <item x="173"/>
        <item x="95"/>
        <item x="35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0"/>
    <field x="1"/>
  </rowFields>
  <rowItems count="61">
    <i>
      <x v="1"/>
      <x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>
      <x v="2"/>
      <x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>
      <x v="3"/>
      <x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>
      <x v="4"/>
      <x v="2"/>
      <x v="11"/>
    </i>
  </rowItems>
  <colFields count="2">
    <field x="3"/>
    <field x="-2"/>
  </colFields>
  <colItems count="12"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</colItems>
  <pageFields count="2">
    <pageField fld="4" hier="-1"/>
    <pageField fld="5" hier="-1"/>
  </pageFields>
  <dataFields count="2">
    <dataField name="Sum of Conservative" fld="4" baseField="0" baseItem="0"/>
    <dataField name="Sum of Liber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0F8A7-C35E-41CB-AB19-7C7C034CD2B1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O13" firstHeaderRow="1" firstDataRow="1" firstDataCol="1"/>
  <pivotFields count="12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exvessel $" fld="11" baseField="0" baseItem="0"/>
  </dataFields>
  <formats count="1">
    <format dxfId="25">
      <pivotArea collapsedLevelsAreSubtotals="1" fieldPosition="0">
        <references count="1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EE64F-CE61-43FA-8316-1C683DC74E1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7:U22" firstHeaderRow="1" firstDataRow="2" firstDataCol="1"/>
  <pivotFields count="12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Weight/fish (lbs)" fld="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D5A42-E4D7-402C-B0BB-A5C150C649D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4:Q18" firstHeaderRow="1" firstDataRow="1" firstDataCol="1"/>
  <pivotFields count="7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# Forest Fish" fld="6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C5ADF-D3C6-4DB9-AFC0-FEDBA23C017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U14" firstHeaderRow="1" firstDataRow="1" firstDataCol="1"/>
  <pivotFields count="7"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# Forest Fish" fld="6" baseField="0" baseItem="0"/>
  </dataFields>
  <formats count="7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collapsedLevelsAreSubtotals="1" fieldPosition="0">
        <references count="1">
          <reference field="2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1194F-0780-464E-9AD9-0F247B51C8C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Q8" firstHeaderRow="1" firstDataRow="1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# Forest Fish" fld="6" baseField="1" baseItem="0"/>
  </dataFields>
  <formats count="7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336AF-A456-434C-80E6-B8B2723F4E15}" name="PivotTable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W2:X13" firstHeaderRow="1" firstDataRow="1" firstDataCol="1"/>
  <pivotFields count="11">
    <pivotField showAll="0" defaultSubtotal="0"/>
    <pivotField showAll="0" defaultSubtotal="0"/>
    <pivotField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ubtotalTop="0" showAll="0" defaultSubtotal="0"/>
    <pivotField showAll="0" defaultSubtotal="0"/>
    <pivotField dataField="1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Avg Servings (6oz)" fld="10" baseField="0" baseItem="0"/>
  </dataFields>
  <formats count="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AE3D-AABC-4941-8B97-6972CCEF934F}">
  <dimension ref="A1:W18"/>
  <sheetViews>
    <sheetView tabSelected="1" zoomScale="110" zoomScaleNormal="110" workbookViewId="0">
      <selection activeCell="E10" sqref="E10"/>
    </sheetView>
  </sheetViews>
  <sheetFormatPr baseColWidth="10" defaultColWidth="8.83203125" defaultRowHeight="15" x14ac:dyDescent="0.2"/>
  <cols>
    <col min="1" max="1" width="8.5" bestFit="1" customWidth="1"/>
    <col min="2" max="8" width="19" customWidth="1"/>
    <col min="9" max="10" width="13.83203125" customWidth="1"/>
    <col min="11" max="11" width="10.33203125" bestFit="1" customWidth="1"/>
    <col min="16" max="16" width="13.6640625" bestFit="1" customWidth="1"/>
    <col min="17" max="17" width="12" bestFit="1" customWidth="1"/>
    <col min="20" max="21" width="10.5" customWidth="1"/>
  </cols>
  <sheetData>
    <row r="1" spans="1:23" ht="16" x14ac:dyDescent="0.2">
      <c r="A1" s="1"/>
      <c r="B1" s="1"/>
      <c r="C1" s="119" t="s">
        <v>8</v>
      </c>
      <c r="D1" s="119"/>
      <c r="E1" s="119" t="s">
        <v>361</v>
      </c>
      <c r="F1" s="119"/>
      <c r="G1" s="119" t="s">
        <v>68</v>
      </c>
      <c r="H1" s="119"/>
      <c r="I1" s="119" t="s">
        <v>413</v>
      </c>
      <c r="J1" s="119"/>
      <c r="P1" s="107" t="s">
        <v>366</v>
      </c>
      <c r="Q1" s="108"/>
      <c r="R1" s="120" t="s">
        <v>8</v>
      </c>
      <c r="S1" s="121"/>
      <c r="T1" s="117" t="s">
        <v>480</v>
      </c>
      <c r="U1" s="118"/>
      <c r="V1" s="119"/>
      <c r="W1" s="119"/>
    </row>
    <row r="2" spans="1:23" x14ac:dyDescent="0.2">
      <c r="A2" s="8" t="s">
        <v>0</v>
      </c>
      <c r="B2" s="8" t="s">
        <v>360</v>
      </c>
      <c r="C2" s="8" t="s">
        <v>328</v>
      </c>
      <c r="D2" s="8" t="s">
        <v>329</v>
      </c>
      <c r="E2" s="8" t="s">
        <v>328</v>
      </c>
      <c r="F2" s="8" t="s">
        <v>329</v>
      </c>
      <c r="G2" s="8" t="s">
        <v>328</v>
      </c>
      <c r="H2" s="8" t="s">
        <v>329</v>
      </c>
      <c r="I2" s="8" t="s">
        <v>328</v>
      </c>
      <c r="J2" s="8" t="s">
        <v>329</v>
      </c>
      <c r="P2" s="109" t="s">
        <v>3</v>
      </c>
      <c r="Q2" s="100" t="s">
        <v>360</v>
      </c>
      <c r="R2" s="99" t="s">
        <v>363</v>
      </c>
      <c r="S2" s="15" t="s">
        <v>364</v>
      </c>
      <c r="T2" s="99" t="s">
        <v>363</v>
      </c>
      <c r="U2" s="110" t="s">
        <v>364</v>
      </c>
      <c r="V2" s="8"/>
      <c r="W2" s="8"/>
    </row>
    <row r="3" spans="1:23" x14ac:dyDescent="0.2">
      <c r="A3" s="1">
        <v>2011</v>
      </c>
      <c r="B3" s="9">
        <f>Commercial!U3</f>
        <v>68008572.719999999</v>
      </c>
      <c r="C3" s="9">
        <f>Sport!M23</f>
        <v>526200.39897700492</v>
      </c>
      <c r="D3" s="9">
        <f>Sport!N23</f>
        <v>778059.77828584146</v>
      </c>
      <c r="E3" s="9">
        <f>'Personal Use'!M23</f>
        <v>278869.64902897261</v>
      </c>
      <c r="F3" s="9">
        <f>'Personal Use'!N23</f>
        <v>552118.47779314581</v>
      </c>
      <c r="G3" s="9">
        <f>Subsistence!M23</f>
        <v>20447.260821216303</v>
      </c>
      <c r="H3" s="9">
        <f>Subsistence!N23</f>
        <v>29998.202406618566</v>
      </c>
      <c r="I3" s="9">
        <f>SUM(E3,G3)</f>
        <v>299316.90985018888</v>
      </c>
      <c r="J3" s="9">
        <f>SUM(F3,H3)</f>
        <v>582116.68019976432</v>
      </c>
      <c r="P3" s="47" t="s">
        <v>9</v>
      </c>
      <c r="Q3" s="28">
        <f>ROUND(Commercial!R3,1)</f>
        <v>0.1</v>
      </c>
      <c r="R3" s="12">
        <f>ROUND(Sport!S3,1)</f>
        <v>3.1</v>
      </c>
      <c r="S3" s="11">
        <f>ROUND(Sport!T3,1)</f>
        <v>2.6</v>
      </c>
      <c r="T3" s="101">
        <f>'Personal Use + Subsistence'!R3</f>
        <v>0.1309935031628689</v>
      </c>
      <c r="U3" s="111">
        <f>'Personal Use + Subsistence'!S3</f>
        <v>0.1612765666757385</v>
      </c>
    </row>
    <row r="4" spans="1:23" x14ac:dyDescent="0.2">
      <c r="A4" s="1">
        <v>2012</v>
      </c>
      <c r="B4" s="9">
        <f>Commercial!U4</f>
        <v>30007941.833999995</v>
      </c>
      <c r="C4" s="9">
        <f>Sport!M24</f>
        <v>518052.19492910191</v>
      </c>
      <c r="D4" s="9">
        <f>Sport!N24</f>
        <v>793957.96417428995</v>
      </c>
      <c r="E4" s="9">
        <f>'Personal Use'!M24</f>
        <v>272649.58504738507</v>
      </c>
      <c r="F4" s="9">
        <f>'Personal Use'!N24</f>
        <v>538785.19886363635</v>
      </c>
      <c r="G4" s="9">
        <f>Subsistence!M24</f>
        <v>22511.956402310963</v>
      </c>
      <c r="H4" s="9">
        <f>Subsistence!N24</f>
        <v>34867.980614433349</v>
      </c>
      <c r="I4" s="9">
        <f t="shared" ref="I4:I12" si="0">SUM(E4,G4)</f>
        <v>295161.54144969606</v>
      </c>
      <c r="J4" s="9">
        <f t="shared" ref="J4:J12" si="1">SUM(F4,H4)</f>
        <v>573653.17947806965</v>
      </c>
      <c r="P4" s="47" t="s">
        <v>53</v>
      </c>
      <c r="Q4" s="28">
        <f>ROUND(Commercial!R4,1)</f>
        <v>4.4000000000000004</v>
      </c>
      <c r="R4" s="12">
        <f>ROUND(Sport!S4,1)</f>
        <v>1.3</v>
      </c>
      <c r="S4" s="11">
        <f>ROUND(Sport!T4,1)</f>
        <v>1</v>
      </c>
      <c r="T4" s="101">
        <f>'Personal Use + Subsistence'!R4</f>
        <v>0.19841681674071307</v>
      </c>
      <c r="U4" s="111">
        <f>'Personal Use + Subsistence'!S4</f>
        <v>0.13630989983112837</v>
      </c>
    </row>
    <row r="5" spans="1:23" x14ac:dyDescent="0.2">
      <c r="A5" s="1">
        <v>2013</v>
      </c>
      <c r="B5" s="9">
        <f>Commercial!U5</f>
        <v>112778396.5334</v>
      </c>
      <c r="C5" s="9">
        <f>Sport!M25</f>
        <v>626498.72755102452</v>
      </c>
      <c r="D5" s="9">
        <f>Sport!N25</f>
        <v>894565.01531953108</v>
      </c>
      <c r="E5" s="9">
        <f>'Personal Use'!M25</f>
        <v>180802.66245591315</v>
      </c>
      <c r="F5" s="9">
        <f>'Personal Use'!N25</f>
        <v>358093</v>
      </c>
      <c r="G5" s="9">
        <f>Subsistence!M25</f>
        <v>20725.446409152912</v>
      </c>
      <c r="H5" s="9">
        <f>Subsistence!N25</f>
        <v>32274.73169038643</v>
      </c>
      <c r="I5" s="9">
        <f t="shared" si="0"/>
        <v>201528.10886506605</v>
      </c>
      <c r="J5" s="9">
        <f t="shared" si="1"/>
        <v>390367.73169038643</v>
      </c>
      <c r="P5" s="47" t="s">
        <v>31</v>
      </c>
      <c r="Q5" s="28">
        <f>ROUND(Commercial!R5,1)</f>
        <v>4.5999999999999996</v>
      </c>
      <c r="R5" s="12">
        <f>ROUND(Sport!S5,1)</f>
        <v>40.5</v>
      </c>
      <c r="S5" s="11">
        <f>ROUND(Sport!T5,1)</f>
        <v>33.799999999999997</v>
      </c>
      <c r="T5" s="101">
        <f>'Personal Use + Subsistence'!R5</f>
        <v>1.0884648500985168</v>
      </c>
      <c r="U5" s="111">
        <f>'Personal Use + Subsistence'!S5</f>
        <v>1.1900325033618238</v>
      </c>
    </row>
    <row r="6" spans="1:23" x14ac:dyDescent="0.2">
      <c r="A6" s="1">
        <v>2014</v>
      </c>
      <c r="B6" s="9">
        <f>Commercial!U6</f>
        <v>48420060.711999997</v>
      </c>
      <c r="C6" s="9">
        <f>Sport!M26</f>
        <v>680064.9821914807</v>
      </c>
      <c r="D6" s="9">
        <f>Sport!N26</f>
        <v>936853.66407983098</v>
      </c>
      <c r="E6" s="9">
        <f>'Personal Use'!M26</f>
        <v>198311.87858660688</v>
      </c>
      <c r="F6" s="9">
        <f>'Personal Use'!N26</f>
        <v>407550.34993975906</v>
      </c>
      <c r="G6" s="9">
        <f>Subsistence!M26</f>
        <v>18771.856455930818</v>
      </c>
      <c r="H6" s="9">
        <f>Subsistence!N26</f>
        <v>25890.913</v>
      </c>
      <c r="I6" s="9">
        <f t="shared" si="0"/>
        <v>217083.73504253771</v>
      </c>
      <c r="J6" s="9">
        <f t="shared" si="1"/>
        <v>433441.26293975906</v>
      </c>
      <c r="P6" s="47" t="s">
        <v>42</v>
      </c>
      <c r="Q6" s="28">
        <f>ROUND(Commercial!R6,1)</f>
        <v>88.9</v>
      </c>
      <c r="R6" s="12">
        <f>ROUND(Sport!S6,1)</f>
        <v>12.4</v>
      </c>
      <c r="S6" s="11">
        <f>ROUND(Sport!T6,1)</f>
        <v>10.5</v>
      </c>
      <c r="T6" s="101">
        <f>'Personal Use + Subsistence'!R6</f>
        <v>0.56352442475971853</v>
      </c>
      <c r="U6" s="111">
        <f>'Personal Use + Subsistence'!S6</f>
        <v>2.3463308103818594</v>
      </c>
    </row>
    <row r="7" spans="1:23" ht="16" thickBot="1" x14ac:dyDescent="0.25">
      <c r="A7" s="1">
        <v>2015</v>
      </c>
      <c r="B7" s="9">
        <f>Commercial!U7</f>
        <v>54173017.689999998</v>
      </c>
      <c r="C7" s="9">
        <f>Sport!M27</f>
        <v>634498.52755783184</v>
      </c>
      <c r="D7" s="9">
        <f>Sport!N27</f>
        <v>881453.70239151455</v>
      </c>
      <c r="E7" s="9">
        <f>'Personal Use'!M27</f>
        <v>196739.10367065825</v>
      </c>
      <c r="F7" s="9">
        <f>'Personal Use'!N27</f>
        <v>390139</v>
      </c>
      <c r="G7" s="9">
        <f>Subsistence!M27</f>
        <v>17365.582765501284</v>
      </c>
      <c r="H7" s="9">
        <f>Subsistence!N27</f>
        <v>23292.056469043288</v>
      </c>
      <c r="I7" s="9">
        <f t="shared" si="0"/>
        <v>214104.68643615954</v>
      </c>
      <c r="J7" s="9">
        <f t="shared" si="1"/>
        <v>413431.05646904331</v>
      </c>
      <c r="P7" s="50" t="s">
        <v>20</v>
      </c>
      <c r="Q7" s="112">
        <f>ROUND(Commercial!R7,1)</f>
        <v>2.1</v>
      </c>
      <c r="R7" s="113">
        <f>ROUND(Sport!S7,1)</f>
        <v>42.7</v>
      </c>
      <c r="S7" s="114">
        <f>ROUND(Sport!T7,1)</f>
        <v>52.2</v>
      </c>
      <c r="T7" s="115">
        <f>'Personal Use + Subsistence'!R7</f>
        <v>98.018600405238175</v>
      </c>
      <c r="U7" s="116">
        <f>'Personal Use + Subsistence'!S7</f>
        <v>96.166050219749451</v>
      </c>
    </row>
    <row r="8" spans="1:23" x14ac:dyDescent="0.2">
      <c r="A8" s="1">
        <v>2016</v>
      </c>
      <c r="B8" s="9">
        <f>Commercial!U8</f>
        <v>24772014.02</v>
      </c>
      <c r="C8" s="9">
        <f>Sport!M28</f>
        <v>532082.57058169728</v>
      </c>
      <c r="D8" s="9">
        <f>Sport!N28</f>
        <v>762070.85386538424</v>
      </c>
      <c r="E8" s="9">
        <f>'Personal Use'!M28</f>
        <v>136030.26160712176</v>
      </c>
      <c r="F8" s="9">
        <f>'Personal Use'!N28</f>
        <v>274799</v>
      </c>
      <c r="G8" s="9">
        <f>Subsistence!M28</f>
        <v>18318.466225814394</v>
      </c>
      <c r="H8" s="9">
        <f>Subsistence!N28</f>
        <v>26121.457666666669</v>
      </c>
      <c r="I8" s="9">
        <f t="shared" si="0"/>
        <v>154348.72783293616</v>
      </c>
      <c r="J8" s="9">
        <f t="shared" si="1"/>
        <v>300920.45766666665</v>
      </c>
    </row>
    <row r="9" spans="1:23" x14ac:dyDescent="0.2">
      <c r="A9" s="1">
        <v>2017</v>
      </c>
      <c r="B9" s="9">
        <f>Commercial!U9</f>
        <v>46848003.759999998</v>
      </c>
      <c r="C9" s="9">
        <f>Sport!M29</f>
        <v>619058.65952430654</v>
      </c>
      <c r="D9" s="9">
        <f>Sport!N29</f>
        <v>824343.5918219802</v>
      </c>
      <c r="E9" s="9">
        <f>'Personal Use'!M29</f>
        <v>153748.74226536686</v>
      </c>
      <c r="F9" s="9">
        <f>'Personal Use'!N29</f>
        <v>309306.5</v>
      </c>
      <c r="G9" s="9">
        <f>Subsistence!M29</f>
        <v>16940.802163615859</v>
      </c>
      <c r="H9" s="9">
        <f>Subsistence!N29</f>
        <v>26402.282999999999</v>
      </c>
      <c r="I9" s="9">
        <f t="shared" si="0"/>
        <v>170689.54442898271</v>
      </c>
      <c r="J9" s="9">
        <f t="shared" si="1"/>
        <v>335708.783</v>
      </c>
    </row>
    <row r="10" spans="1:23" x14ac:dyDescent="0.2">
      <c r="A10" s="1">
        <v>2018</v>
      </c>
      <c r="B10" s="9">
        <f>Commercial!U10</f>
        <v>15863084.050000001</v>
      </c>
      <c r="C10" s="9">
        <f>Sport!M30</f>
        <v>368462.80873337085</v>
      </c>
      <c r="D10" s="9">
        <f>Sport!N30</f>
        <v>521255.12888156285</v>
      </c>
      <c r="E10" s="9">
        <f>'Personal Use'!M30</f>
        <v>86349.200730678305</v>
      </c>
      <c r="F10" s="9">
        <f>'Personal Use'!N30</f>
        <v>178685</v>
      </c>
      <c r="G10" s="9">
        <f>Subsistence!M30</f>
        <v>18676.859405494131</v>
      </c>
      <c r="H10" s="9">
        <f>Subsistence!N30</f>
        <v>34245.832999999999</v>
      </c>
      <c r="I10" s="9">
        <f t="shared" si="0"/>
        <v>105026.06013617244</v>
      </c>
      <c r="J10" s="9">
        <f t="shared" si="1"/>
        <v>212930.83299999998</v>
      </c>
    </row>
    <row r="11" spans="1:23" x14ac:dyDescent="0.2">
      <c r="A11" s="1">
        <v>2019</v>
      </c>
      <c r="B11" s="9">
        <f>Commercial!U11</f>
        <v>32386229.75</v>
      </c>
      <c r="C11" s="9">
        <f>Sport!M31</f>
        <v>632726.82999848097</v>
      </c>
      <c r="D11" s="9">
        <f>Sport!N31</f>
        <v>916516.47693594568</v>
      </c>
      <c r="E11" s="9">
        <f>'Personal Use'!M31</f>
        <v>171459.6131058138</v>
      </c>
      <c r="F11" s="9">
        <f>'Personal Use'!N31</f>
        <v>340299.44386677182</v>
      </c>
      <c r="G11" s="9">
        <f>Subsistence!M31</f>
        <v>20247.130165336795</v>
      </c>
      <c r="H11" s="9">
        <f>Subsistence!N31</f>
        <v>35885.321168077258</v>
      </c>
      <c r="I11" s="9">
        <f t="shared" si="0"/>
        <v>191706.7432711506</v>
      </c>
      <c r="J11" s="9">
        <f t="shared" si="1"/>
        <v>376184.76503484906</v>
      </c>
    </row>
    <row r="12" spans="1:23" x14ac:dyDescent="0.2">
      <c r="A12" s="1">
        <v>2020</v>
      </c>
      <c r="B12" s="9">
        <f>Commercial!U12</f>
        <v>13929622.779999999</v>
      </c>
      <c r="C12" s="9">
        <f>Sport!M32</f>
        <v>375184.16457374283</v>
      </c>
      <c r="D12" s="9">
        <f>Sport!N32</f>
        <v>547461.87273500999</v>
      </c>
      <c r="E12" s="9">
        <f>'Personal Use'!M32</f>
        <v>133870.66824491977</v>
      </c>
      <c r="F12" s="9">
        <f>'Personal Use'!N32</f>
        <v>274896.40117274417</v>
      </c>
      <c r="G12" s="9">
        <f>Subsistence!M32</f>
        <v>14767.798760556627</v>
      </c>
      <c r="H12" s="9">
        <f>Subsistence!N32</f>
        <v>28278.945011479896</v>
      </c>
      <c r="I12" s="9">
        <f t="shared" si="0"/>
        <v>148638.46700547638</v>
      </c>
      <c r="J12" s="9">
        <f t="shared" si="1"/>
        <v>303175.34618422406</v>
      </c>
    </row>
    <row r="13" spans="1:23" x14ac:dyDescent="0.2">
      <c r="A13" s="5" t="s">
        <v>365</v>
      </c>
      <c r="B13" s="9">
        <f>AVERAGE(B3:B12)</f>
        <v>44718694.384939991</v>
      </c>
      <c r="C13" s="9">
        <f>AVERAGE(C3:C12)</f>
        <v>551282.98646180425</v>
      </c>
      <c r="D13" s="9">
        <f>AVERAGE(D3:D12)</f>
        <v>785653.80484908912</v>
      </c>
      <c r="E13" s="9">
        <f t="shared" ref="E13:G13" si="2">AVERAGE(E3:E12)</f>
        <v>180883.13647434366</v>
      </c>
      <c r="F13" s="9">
        <f t="shared" si="2"/>
        <v>362467.23716360575</v>
      </c>
      <c r="G13" s="9">
        <f t="shared" si="2"/>
        <v>18877.315957493007</v>
      </c>
      <c r="H13" s="9">
        <f>AVERAGE(H3:H12)</f>
        <v>29725.772402670544</v>
      </c>
      <c r="I13" s="9">
        <f t="shared" ref="I13" si="3">AVERAGE(I3:I12)</f>
        <v>199760.45243183669</v>
      </c>
      <c r="J13" s="9">
        <f>AVERAGE(J3:J12)</f>
        <v>392193.00956627622</v>
      </c>
      <c r="K13" s="9">
        <f>SUM(B13,D13,F13,F13,H13)</f>
        <v>46259008.43651896</v>
      </c>
    </row>
    <row r="14" spans="1:23" x14ac:dyDescent="0.2">
      <c r="A14" s="65" t="s">
        <v>367</v>
      </c>
      <c r="B14" s="66">
        <f>MEDIAN(B3:B12)</f>
        <v>39617116.754999995</v>
      </c>
      <c r="C14" s="66">
        <f t="shared" ref="C14:H14" si="4">MEDIAN(C3:C12)</f>
        <v>575570.61505300191</v>
      </c>
      <c r="D14" s="66">
        <f t="shared" si="4"/>
        <v>809150.77799813508</v>
      </c>
      <c r="E14" s="66">
        <f t="shared" si="4"/>
        <v>176131.13778086347</v>
      </c>
      <c r="F14" s="66">
        <f t="shared" si="4"/>
        <v>349196.22193338594</v>
      </c>
      <c r="G14" s="66">
        <f t="shared" si="4"/>
        <v>18724.357930712475</v>
      </c>
      <c r="H14" s="66">
        <f t="shared" si="4"/>
        <v>29138.573709049233</v>
      </c>
      <c r="I14" s="66">
        <f t="shared" ref="I14:J14" si="5">MEDIAN(I3:I12)</f>
        <v>196617.42606810833</v>
      </c>
      <c r="J14" s="66">
        <f t="shared" si="5"/>
        <v>383276.24836261774</v>
      </c>
    </row>
    <row r="15" spans="1:23" x14ac:dyDescent="0.2">
      <c r="A15" s="67" t="s">
        <v>368</v>
      </c>
      <c r="B15" s="68">
        <f>MIN(B3:B12)</f>
        <v>13929622.779999999</v>
      </c>
      <c r="C15" s="68">
        <f t="shared" ref="C15:H15" si="6">MIN(C3:C12)</f>
        <v>368462.80873337085</v>
      </c>
      <c r="D15" s="68">
        <f t="shared" si="6"/>
        <v>521255.12888156285</v>
      </c>
      <c r="E15" s="68">
        <f t="shared" si="6"/>
        <v>86349.200730678305</v>
      </c>
      <c r="F15" s="68">
        <f t="shared" si="6"/>
        <v>178685</v>
      </c>
      <c r="G15" s="68">
        <f t="shared" si="6"/>
        <v>14767.798760556627</v>
      </c>
      <c r="H15" s="68">
        <f t="shared" si="6"/>
        <v>23292.056469043288</v>
      </c>
      <c r="I15" s="68">
        <f>MIN(I3:I12)</f>
        <v>105026.06013617244</v>
      </c>
      <c r="J15" s="68">
        <f t="shared" ref="J15" si="7">MIN(J3:J12)</f>
        <v>212930.83299999998</v>
      </c>
    </row>
    <row r="16" spans="1:23" x14ac:dyDescent="0.2">
      <c r="A16" s="67" t="s">
        <v>369</v>
      </c>
      <c r="B16" s="68">
        <f>MAX(B3:B12)</f>
        <v>112778396.5334</v>
      </c>
      <c r="C16" s="68">
        <f t="shared" ref="C16:H16" si="8">MAX(C3:C12)</f>
        <v>680064.9821914807</v>
      </c>
      <c r="D16" s="68">
        <f t="shared" si="8"/>
        <v>936853.66407983098</v>
      </c>
      <c r="E16" s="68">
        <f t="shared" si="8"/>
        <v>278869.64902897261</v>
      </c>
      <c r="F16" s="68">
        <f t="shared" si="8"/>
        <v>552118.47779314581</v>
      </c>
      <c r="G16" s="68">
        <f t="shared" si="8"/>
        <v>22511.956402310963</v>
      </c>
      <c r="H16" s="68">
        <f t="shared" si="8"/>
        <v>35885.321168077258</v>
      </c>
      <c r="I16" s="68">
        <f t="shared" ref="I16:J16" si="9">MAX(I3:I12)</f>
        <v>299316.90985018888</v>
      </c>
      <c r="J16" s="68">
        <f t="shared" si="9"/>
        <v>582116.68019976432</v>
      </c>
    </row>
    <row r="17" spans="1:10" x14ac:dyDescent="0.2">
      <c r="A17" s="67" t="s">
        <v>414</v>
      </c>
      <c r="B17" s="68">
        <f>_xlfn.STDEV.S(B3:B12)</f>
        <v>29494140.566713579</v>
      </c>
      <c r="C17" s="68">
        <f t="shared" ref="C17:J17" si="10">_xlfn.STDEV.S(C3:C12)</f>
        <v>109000.39146032465</v>
      </c>
      <c r="D17" s="68">
        <f t="shared" si="10"/>
        <v>145238.29017042354</v>
      </c>
      <c r="E17" s="68">
        <f t="shared" si="10"/>
        <v>60149.178115352042</v>
      </c>
      <c r="F17" s="68">
        <f t="shared" si="10"/>
        <v>116581.2644624642</v>
      </c>
      <c r="G17" s="68">
        <f t="shared" si="10"/>
        <v>2217.4682068739203</v>
      </c>
      <c r="H17" s="68">
        <f t="shared" si="10"/>
        <v>4392.082890157868</v>
      </c>
      <c r="I17" s="68">
        <f t="shared" si="10"/>
        <v>61537.794087406226</v>
      </c>
      <c r="J17" s="68">
        <f t="shared" si="10"/>
        <v>116900.28107016897</v>
      </c>
    </row>
    <row r="18" spans="1:10" x14ac:dyDescent="0.2">
      <c r="A18" s="67" t="s">
        <v>415</v>
      </c>
      <c r="B18" s="69">
        <f>B17/B13</f>
        <v>0.65954833816987246</v>
      </c>
      <c r="C18" s="69">
        <f>C17/C13</f>
        <v>0.19772130491438042</v>
      </c>
      <c r="D18" s="69">
        <f t="shared" ref="D18:J18" si="11">D17/D13</f>
        <v>0.18486296289027884</v>
      </c>
      <c r="E18" s="69">
        <f t="shared" si="11"/>
        <v>0.33253060118118616</v>
      </c>
      <c r="F18" s="69">
        <f t="shared" si="11"/>
        <v>0.32163255739950714</v>
      </c>
      <c r="G18" s="69">
        <f t="shared" si="11"/>
        <v>0.11746734609237372</v>
      </c>
      <c r="H18" s="69">
        <f t="shared" si="11"/>
        <v>0.14775336467836531</v>
      </c>
      <c r="I18" s="69">
        <f t="shared" si="11"/>
        <v>0.30805794309263729</v>
      </c>
      <c r="J18" s="69">
        <f t="shared" si="11"/>
        <v>0.29806824246930935</v>
      </c>
    </row>
  </sheetData>
  <mergeCells count="7">
    <mergeCell ref="T1:U1"/>
    <mergeCell ref="V1:W1"/>
    <mergeCell ref="C1:D1"/>
    <mergeCell ref="G1:H1"/>
    <mergeCell ref="E1:F1"/>
    <mergeCell ref="R1:S1"/>
    <mergeCell ref="I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1F40-513F-4091-B633-9021182B6B82}">
  <dimension ref="B1:P26"/>
  <sheetViews>
    <sheetView zoomScale="120" zoomScaleNormal="120" workbookViewId="0">
      <selection activeCell="C4" sqref="C4"/>
    </sheetView>
  </sheetViews>
  <sheetFormatPr baseColWidth="10" defaultColWidth="8.83203125" defaultRowHeight="15" x14ac:dyDescent="0.2"/>
  <cols>
    <col min="1" max="1" width="2.5" customWidth="1"/>
    <col min="2" max="2" width="22.83203125" bestFit="1" customWidth="1"/>
    <col min="3" max="3" width="41.5" bestFit="1" customWidth="1"/>
    <col min="4" max="4" width="16.6640625" bestFit="1" customWidth="1"/>
    <col min="5" max="5" width="2.1640625" customWidth="1"/>
    <col min="6" max="6" width="8" bestFit="1" customWidth="1"/>
    <col min="7" max="7" width="13.1640625" bestFit="1" customWidth="1"/>
    <col min="8" max="8" width="10.83203125" bestFit="1" customWidth="1"/>
    <col min="9" max="9" width="13.1640625" bestFit="1" customWidth="1"/>
    <col min="10" max="10" width="9.83203125" bestFit="1" customWidth="1"/>
    <col min="11" max="11" width="3.5" customWidth="1"/>
    <col min="13" max="14" width="10.83203125" bestFit="1" customWidth="1"/>
    <col min="15" max="15" width="13.1640625" bestFit="1" customWidth="1"/>
    <col min="16" max="16" width="9.83203125" bestFit="1" customWidth="1"/>
  </cols>
  <sheetData>
    <row r="1" spans="2:16" ht="20" thickBot="1" x14ac:dyDescent="0.3">
      <c r="B1" s="126" t="s">
        <v>360</v>
      </c>
      <c r="C1" s="127"/>
      <c r="D1" s="128"/>
      <c r="F1" s="122" t="s">
        <v>8</v>
      </c>
      <c r="G1" s="123"/>
      <c r="H1" s="123"/>
      <c r="I1" s="123"/>
      <c r="J1" s="124"/>
      <c r="L1" s="122" t="s">
        <v>413</v>
      </c>
      <c r="M1" s="123"/>
      <c r="N1" s="123"/>
      <c r="O1" s="123"/>
      <c r="P1" s="124"/>
    </row>
    <row r="2" spans="2:16" ht="19" x14ac:dyDescent="0.25">
      <c r="B2" s="82" t="s">
        <v>0</v>
      </c>
      <c r="C2" s="103" t="s">
        <v>481</v>
      </c>
      <c r="D2" s="104" t="s">
        <v>482</v>
      </c>
      <c r="F2" s="106"/>
      <c r="G2" s="125" t="s">
        <v>483</v>
      </c>
      <c r="H2" s="125"/>
      <c r="I2" s="125" t="s">
        <v>482</v>
      </c>
      <c r="J2" s="118"/>
      <c r="L2" s="106"/>
      <c r="M2" s="125" t="s">
        <v>483</v>
      </c>
      <c r="N2" s="125"/>
      <c r="O2" s="125" t="s">
        <v>482</v>
      </c>
      <c r="P2" s="118"/>
    </row>
    <row r="3" spans="2:16" s="1" customFormat="1" x14ac:dyDescent="0.2">
      <c r="B3" s="53" t="s">
        <v>341</v>
      </c>
      <c r="C3" s="9">
        <v>221798351.36023518</v>
      </c>
      <c r="D3" s="87">
        <v>374052179.18921441</v>
      </c>
      <c r="F3" s="47" t="s">
        <v>0</v>
      </c>
      <c r="G3" s="1" t="s">
        <v>328</v>
      </c>
      <c r="H3" s="1" t="s">
        <v>329</v>
      </c>
      <c r="I3" s="1" t="s">
        <v>328</v>
      </c>
      <c r="J3" s="48" t="s">
        <v>329</v>
      </c>
      <c r="L3" s="47" t="s">
        <v>0</v>
      </c>
      <c r="M3" s="1" t="s">
        <v>328</v>
      </c>
      <c r="N3" s="1" t="s">
        <v>329</v>
      </c>
      <c r="O3" s="1" t="s">
        <v>328</v>
      </c>
      <c r="P3" s="48" t="s">
        <v>329</v>
      </c>
    </row>
    <row r="4" spans="2:16" x14ac:dyDescent="0.2">
      <c r="B4" s="53" t="s">
        <v>346</v>
      </c>
      <c r="C4" s="9">
        <v>127942465.37453426</v>
      </c>
      <c r="D4" s="87">
        <v>187473301.1540865</v>
      </c>
      <c r="F4" s="53" t="s">
        <v>341</v>
      </c>
      <c r="G4" s="9">
        <f>Sport!M64</f>
        <v>46265540.062549978</v>
      </c>
      <c r="H4" s="9">
        <f>Sport!N64</f>
        <v>69998161.151183218</v>
      </c>
      <c r="I4" s="9">
        <f>Sport!M53</f>
        <v>4898554.4232628671</v>
      </c>
      <c r="J4" s="87">
        <f>Sport!N53</f>
        <v>7202353.622594595</v>
      </c>
      <c r="L4" s="53" t="s">
        <v>341</v>
      </c>
      <c r="M4" s="9">
        <f>'Personal Use + Subsistence'!N75</f>
        <v>24892044.450096186</v>
      </c>
      <c r="N4" s="9">
        <f>'Personal Use + Subsistence'!O75</f>
        <v>48438695.808024086</v>
      </c>
      <c r="O4" s="9">
        <f>'Personal Use + Subsistence'!N64</f>
        <v>2413981.903843449</v>
      </c>
      <c r="P4" s="87">
        <f>'Personal Use + Subsistence'!O64</f>
        <v>4700876.6199799776</v>
      </c>
    </row>
    <row r="5" spans="2:16" x14ac:dyDescent="0.2">
      <c r="B5" s="53" t="s">
        <v>347</v>
      </c>
      <c r="C5" s="9">
        <v>276610878.7640388</v>
      </c>
      <c r="D5" s="87">
        <v>537446818.41860831</v>
      </c>
      <c r="F5" s="53" t="s">
        <v>346</v>
      </c>
      <c r="G5" s="9">
        <f>Sport!M65</f>
        <v>43623732.152794003</v>
      </c>
      <c r="H5" s="9">
        <f>Sport!N65</f>
        <v>65982999.423986509</v>
      </c>
      <c r="I5" s="9">
        <f>Sport!M54</f>
        <v>4658480.553182194</v>
      </c>
      <c r="J5" s="87">
        <f>Sport!N54</f>
        <v>6938832.8490554206</v>
      </c>
      <c r="L5" s="53" t="s">
        <v>346</v>
      </c>
      <c r="M5" s="9">
        <f>'Personal Use + Subsistence'!N76</f>
        <v>24479795.865514375</v>
      </c>
      <c r="N5" s="9">
        <f>'Personal Use + Subsistence'!O76</f>
        <v>47382733.861713611</v>
      </c>
      <c r="O5" s="9">
        <f>'Personal Use + Subsistence'!N65</f>
        <v>2375272.2845917032</v>
      </c>
      <c r="P5" s="87">
        <f>'Personal Use + Subsistence'!O65</f>
        <v>4608464.2035249062</v>
      </c>
    </row>
    <row r="6" spans="2:16" x14ac:dyDescent="0.2">
      <c r="B6" s="53" t="s">
        <v>348</v>
      </c>
      <c r="C6" s="9">
        <v>136353552.69151637</v>
      </c>
      <c r="D6" s="87">
        <v>272600340.12516308</v>
      </c>
      <c r="F6" s="53" t="s">
        <v>347</v>
      </c>
      <c r="G6" s="9">
        <f>Sport!M66</f>
        <v>51866307.794847801</v>
      </c>
      <c r="H6" s="9">
        <f>Sport!N66</f>
        <v>74649034.253234297</v>
      </c>
      <c r="I6" s="9">
        <f>Sport!M55</f>
        <v>5705114.3517725971</v>
      </c>
      <c r="J6" s="87">
        <f>Sport!N55</f>
        <v>8016156.7783738459</v>
      </c>
      <c r="L6" s="53" t="s">
        <v>347</v>
      </c>
      <c r="M6" s="9">
        <f>'Personal Use + Subsistence'!N77</f>
        <v>16776202.28315828</v>
      </c>
      <c r="N6" s="9">
        <f>'Personal Use + Subsistence'!O77</f>
        <v>32231941.03846664</v>
      </c>
      <c r="O6" s="9">
        <f>'Personal Use + Subsistence'!N66</f>
        <v>1625944.6307420994</v>
      </c>
      <c r="P6" s="87">
        <f>'Personal Use + Subsistence'!O66</f>
        <v>3138357.1665917882</v>
      </c>
    </row>
    <row r="7" spans="2:16" x14ac:dyDescent="0.2">
      <c r="B7" s="53" t="s">
        <v>349</v>
      </c>
      <c r="C7" s="9">
        <v>99375820.661955059</v>
      </c>
      <c r="D7" s="87">
        <v>298180207.45236802</v>
      </c>
      <c r="F7" s="53" t="s">
        <v>348</v>
      </c>
      <c r="G7" s="9">
        <f>Sport!M67</f>
        <v>60849097.769831583</v>
      </c>
      <c r="H7" s="9">
        <f>Sport!N67</f>
        <v>81524323.259779453</v>
      </c>
      <c r="I7" s="9">
        <f>Sport!M56</f>
        <v>6530217.2546049962</v>
      </c>
      <c r="J7" s="87">
        <f>Sport!N56</f>
        <v>8710203.8383752964</v>
      </c>
      <c r="L7" s="53" t="s">
        <v>348</v>
      </c>
      <c r="M7" s="9">
        <f>'Personal Use + Subsistence'!N78</f>
        <v>17997227.9086936</v>
      </c>
      <c r="N7" s="9">
        <f>'Personal Use + Subsistence'!O78</f>
        <v>34820723.70522853</v>
      </c>
      <c r="O7" s="9">
        <f>'Personal Use + Subsistence'!N67</f>
        <v>1748601.2916156158</v>
      </c>
      <c r="P7" s="87">
        <f>'Personal Use + Subsistence'!O67</f>
        <v>3439729.67200237</v>
      </c>
    </row>
    <row r="8" spans="2:16" x14ac:dyDescent="0.2">
      <c r="B8" s="53" t="s">
        <v>350</v>
      </c>
      <c r="C8" s="9">
        <v>91678826.659483179</v>
      </c>
      <c r="D8" s="87">
        <v>163919394.38988462</v>
      </c>
      <c r="F8" s="53" t="s">
        <v>349</v>
      </c>
      <c r="G8" s="9">
        <f>Sport!M68</f>
        <v>54691091.741461642</v>
      </c>
      <c r="H8" s="9">
        <f>Sport!N68</f>
        <v>76424376.87781474</v>
      </c>
      <c r="I8" s="9">
        <f>Sport!M57</f>
        <v>5947608.0452605709</v>
      </c>
      <c r="J8" s="87">
        <f>Sport!N57</f>
        <v>8156170.9938132968</v>
      </c>
      <c r="L8" s="53" t="s">
        <v>349</v>
      </c>
      <c r="M8" s="9">
        <f>'Personal Use + Subsistence'!N79</f>
        <v>17753768.657143269</v>
      </c>
      <c r="N8" s="9">
        <f>'Personal Use + Subsistence'!O79</f>
        <v>34064103.695135966</v>
      </c>
      <c r="O8" s="9">
        <f>'Personal Use + Subsistence'!N68</f>
        <v>1726569.0551264191</v>
      </c>
      <c r="P8" s="87">
        <f>'Personal Use + Subsistence'!O68</f>
        <v>3324769.9374153996</v>
      </c>
    </row>
    <row r="9" spans="2:16" x14ac:dyDescent="0.2">
      <c r="B9" s="53" t="s">
        <v>351</v>
      </c>
      <c r="C9" s="9">
        <v>150984301.33127153</v>
      </c>
      <c r="D9" s="87">
        <v>274373979.96875072</v>
      </c>
      <c r="F9" s="53" t="s">
        <v>350</v>
      </c>
      <c r="G9" s="9">
        <f>Sport!M69</f>
        <v>45382010.619503453</v>
      </c>
      <c r="H9" s="9">
        <f>Sport!N69</f>
        <v>65627307.478883058</v>
      </c>
      <c r="I9" s="9">
        <f>Sport!M58</f>
        <v>4922964.0699335709</v>
      </c>
      <c r="J9" s="87">
        <f>Sport!N58</f>
        <v>6944909.6218061075</v>
      </c>
      <c r="L9" s="53" t="s">
        <v>350</v>
      </c>
      <c r="M9" s="9">
        <f>'Personal Use + Subsistence'!N80</f>
        <v>12808204.843354587</v>
      </c>
      <c r="N9" s="9">
        <f>'Personal Use + Subsistence'!O80</f>
        <v>24670789.99483566</v>
      </c>
      <c r="O9" s="9">
        <f>'Personal Use + Subsistence'!N69</f>
        <v>1247819.9427142655</v>
      </c>
      <c r="P9" s="87">
        <f>'Personal Use + Subsistence'!O69</f>
        <v>2418471.6688000131</v>
      </c>
    </row>
    <row r="10" spans="2:16" x14ac:dyDescent="0.2">
      <c r="B10" s="53" t="s">
        <v>352</v>
      </c>
      <c r="C10" s="9">
        <v>88161107.347352415</v>
      </c>
      <c r="D10" s="87">
        <v>114781082.9201156</v>
      </c>
      <c r="F10" s="53" t="s">
        <v>351</v>
      </c>
      <c r="G10" s="9">
        <f>Sport!M70</f>
        <v>52351937.882966727</v>
      </c>
      <c r="H10" s="9">
        <f>Sport!N70</f>
        <v>71906574.353018105</v>
      </c>
      <c r="I10" s="9">
        <f>Sport!M59</f>
        <v>5842320.0352825383</v>
      </c>
      <c r="J10" s="87">
        <f>Sport!N59</f>
        <v>7762099.6675448194</v>
      </c>
      <c r="L10" s="53" t="s">
        <v>351</v>
      </c>
      <c r="M10" s="9">
        <f>'Personal Use + Subsistence'!N81</f>
        <v>14232641.292568954</v>
      </c>
      <c r="N10" s="9">
        <f>'Personal Use + Subsistence'!O81</f>
        <v>27732916.013731539</v>
      </c>
      <c r="O10" s="9">
        <f>'Personal Use + Subsistence'!N70</f>
        <v>1377957.4396703728</v>
      </c>
      <c r="P10" s="87">
        <f>'Personal Use + Subsistence'!O70</f>
        <v>2697512.5676481496</v>
      </c>
    </row>
    <row r="11" spans="2:16" x14ac:dyDescent="0.2">
      <c r="B11" s="53" t="s">
        <v>353</v>
      </c>
      <c r="C11" s="9">
        <v>91778690.35709767</v>
      </c>
      <c r="D11" s="87">
        <v>190009165.7260623</v>
      </c>
      <c r="F11" s="53" t="s">
        <v>352</v>
      </c>
      <c r="G11" s="9">
        <f>Sport!M71</f>
        <v>29898777.958855916</v>
      </c>
      <c r="H11" s="9">
        <f>Sport!N71</f>
        <v>42311839.579192325</v>
      </c>
      <c r="I11" s="9">
        <f>Sport!M60</f>
        <v>3358581.7697810363</v>
      </c>
      <c r="J11" s="87">
        <f>Sport!N60</f>
        <v>4702850.5667090751</v>
      </c>
      <c r="L11" s="53" t="s">
        <v>352</v>
      </c>
      <c r="M11" s="9">
        <f>'Personal Use + Subsistence'!N82</f>
        <v>8710060.5777405165</v>
      </c>
      <c r="N11" s="9">
        <f>'Personal Use + Subsistence'!O82</f>
        <v>17046680.778907135</v>
      </c>
      <c r="O11" s="9">
        <f>'Personal Use + Subsistence'!N71</f>
        <v>850594.83636978362</v>
      </c>
      <c r="P11" s="87">
        <f>'Personal Use + Subsistence'!O71</f>
        <v>1690057.6404083034</v>
      </c>
    </row>
    <row r="12" spans="2:16" x14ac:dyDescent="0.2">
      <c r="B12" s="53" t="s">
        <v>354</v>
      </c>
      <c r="C12" s="9">
        <v>43914565.941840284</v>
      </c>
      <c r="D12" s="87">
        <v>82524070.603209481</v>
      </c>
      <c r="F12" s="53" t="s">
        <v>353</v>
      </c>
      <c r="G12" s="9">
        <f>Sport!M72</f>
        <v>50395468.715576842</v>
      </c>
      <c r="H12" s="9">
        <f>Sport!N72</f>
        <v>74462747.999901354</v>
      </c>
      <c r="I12" s="9">
        <f>Sport!M61</f>
        <v>5519230.0608493201</v>
      </c>
      <c r="J12" s="87">
        <f>Sport!N61</f>
        <v>7941319.7227477878</v>
      </c>
      <c r="L12" s="53" t="s">
        <v>353</v>
      </c>
      <c r="M12" s="9">
        <f>'Personal Use + Subsistence'!N83</f>
        <v>15915496.673768157</v>
      </c>
      <c r="N12" s="9">
        <f>'Personal Use + Subsistence'!O83</f>
        <v>30959931.694114167</v>
      </c>
      <c r="O12" s="9">
        <f>'Personal Use + Subsistence'!N72</f>
        <v>1545297.3628066862</v>
      </c>
      <c r="P12" s="87">
        <f>'Personal Use + Subsistence'!O72</f>
        <v>3015429.9148392859</v>
      </c>
    </row>
    <row r="13" spans="2:16" ht="16" thickBot="1" x14ac:dyDescent="0.25">
      <c r="B13" s="55" t="s">
        <v>365</v>
      </c>
      <c r="C13" s="88">
        <f>AVERAGE(C3:C12)</f>
        <v>132859856.04893246</v>
      </c>
      <c r="D13" s="89">
        <f>AVERAGE(D3:D12)</f>
        <v>249536053.9947463</v>
      </c>
      <c r="F13" s="53" t="s">
        <v>354</v>
      </c>
      <c r="G13" s="9">
        <f>Sport!M73</f>
        <v>31009090.110560909</v>
      </c>
      <c r="H13" s="9">
        <f>Sport!N73</f>
        <v>44904350.371242732</v>
      </c>
      <c r="I13" s="9">
        <f>Sport!M62</f>
        <v>3357202.6771617876</v>
      </c>
      <c r="J13" s="87">
        <f>Sport!N62</f>
        <v>4799760.9413788347</v>
      </c>
      <c r="L13" s="53" t="s">
        <v>354</v>
      </c>
      <c r="M13" s="9">
        <f>'Personal Use + Subsistence'!N84</f>
        <v>12311014.331105981</v>
      </c>
      <c r="N13" s="9">
        <f>'Personal Use + Subsistence'!O84</f>
        <v>24304875.544897649</v>
      </c>
      <c r="O13" s="9">
        <f>'Personal Use + Subsistence'!N73</f>
        <v>1196071.5800540086</v>
      </c>
      <c r="P13" s="87">
        <f>'Personal Use + Subsistence'!O73</f>
        <v>2398024.4341334654</v>
      </c>
    </row>
    <row r="14" spans="2:16" ht="16" thickBot="1" x14ac:dyDescent="0.25">
      <c r="B14" s="53" t="s">
        <v>485</v>
      </c>
      <c r="C14" s="9">
        <f>MEDIAN(C3:C12)</f>
        <v>113659143.01824465</v>
      </c>
      <c r="D14" s="9">
        <f>MEDIAN(D3:D12)</f>
        <v>231304752.92561269</v>
      </c>
      <c r="F14" s="55" t="s">
        <v>365</v>
      </c>
      <c r="G14" s="88">
        <f>AVERAGE(G4:G13)</f>
        <v>46633305.480894886</v>
      </c>
      <c r="H14" s="88">
        <f>AVERAGE(H4:H13)</f>
        <v>66779171.474823594</v>
      </c>
      <c r="I14" s="88">
        <f>Sport!M63</f>
        <v>5074027.3241091482</v>
      </c>
      <c r="J14" s="89">
        <f>Sport!N63</f>
        <v>7117465.8602399081</v>
      </c>
      <c r="L14" s="55" t="s">
        <v>365</v>
      </c>
      <c r="M14" s="88">
        <f>AVERAGE(M4:M13)</f>
        <v>16587645.688314389</v>
      </c>
      <c r="N14" s="88">
        <f>AVERAGE(N4:N13)</f>
        <v>32165339.213505499</v>
      </c>
      <c r="O14" s="88">
        <f t="shared" ref="O14:P14" si="0">AVERAGE(O4:O13)</f>
        <v>1610811.0327534401</v>
      </c>
      <c r="P14" s="89">
        <f t="shared" si="0"/>
        <v>3143169.3825343656</v>
      </c>
    </row>
    <row r="15" spans="2:16" x14ac:dyDescent="0.2">
      <c r="F15" s="53" t="s">
        <v>367</v>
      </c>
      <c r="G15" s="9">
        <f>MEDIAN(G4:G13)</f>
        <v>48330504.38906341</v>
      </c>
      <c r="H15" s="9">
        <f t="shared" ref="H15:J15" si="1">MEDIAN(H4:H13)</f>
        <v>70952367.752100661</v>
      </c>
      <c r="I15" s="9">
        <f t="shared" si="1"/>
        <v>5221097.0653914455</v>
      </c>
      <c r="J15" s="9">
        <f t="shared" si="1"/>
        <v>7482226.6450697072</v>
      </c>
      <c r="L15" s="53" t="s">
        <v>367</v>
      </c>
      <c r="M15" s="9">
        <f>MEDIAN(M4:M13)</f>
        <v>16345849.478463218</v>
      </c>
      <c r="N15" s="9">
        <f t="shared" ref="N15:P15" si="2">MEDIAN(N4:N13)</f>
        <v>31595936.366290405</v>
      </c>
      <c r="O15" s="9">
        <f t="shared" si="2"/>
        <v>1585620.9967743927</v>
      </c>
      <c r="P15" s="9">
        <f t="shared" si="2"/>
        <v>3076893.540715537</v>
      </c>
    </row>
    <row r="16" spans="2:16" x14ac:dyDescent="0.2">
      <c r="B16" t="s">
        <v>486</v>
      </c>
      <c r="C16" s="9">
        <f>SUM(C13,H14,N14)</f>
        <v>231804366.73726156</v>
      </c>
      <c r="D16" s="9"/>
    </row>
    <row r="17" spans="2:4" x14ac:dyDescent="0.2">
      <c r="B17" t="s">
        <v>487</v>
      </c>
      <c r="C17" s="9">
        <f>SUM(D13,J14,P14)</f>
        <v>259796689.23752055</v>
      </c>
      <c r="D17" s="9"/>
    </row>
    <row r="18" spans="2:4" x14ac:dyDescent="0.2">
      <c r="C18" s="9">
        <f>C17*(6/16)</f>
        <v>97423758.464070201</v>
      </c>
      <c r="D18" s="9"/>
    </row>
    <row r="19" spans="2:4" x14ac:dyDescent="0.2">
      <c r="B19" t="s">
        <v>488</v>
      </c>
      <c r="C19" s="9">
        <f>C18/(4/16)</f>
        <v>389695033.8562808</v>
      </c>
    </row>
    <row r="25" spans="2:4" x14ac:dyDescent="0.2">
      <c r="C25">
        <f>46000000*4*0.5</f>
        <v>92000000</v>
      </c>
    </row>
    <row r="26" spans="2:4" x14ac:dyDescent="0.2">
      <c r="C26" s="9">
        <f>C25/(4/16)</f>
        <v>368000000</v>
      </c>
    </row>
  </sheetData>
  <mergeCells count="7">
    <mergeCell ref="F1:J1"/>
    <mergeCell ref="L1:P1"/>
    <mergeCell ref="M2:N2"/>
    <mergeCell ref="O2:P2"/>
    <mergeCell ref="B1:D1"/>
    <mergeCell ref="G2:H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5F0-1B12-4F3F-8BBA-28A7ECA75124}">
  <dimension ref="A1:W650"/>
  <sheetViews>
    <sheetView zoomScale="120" zoomScaleNormal="120" workbookViewId="0">
      <pane ySplit="1" topLeftCell="A2" activePane="bottomLeft" state="frozen"/>
      <selection pane="bottomLeft" activeCell="F1" sqref="A1:F1048576"/>
    </sheetView>
  </sheetViews>
  <sheetFormatPr baseColWidth="10" defaultColWidth="8.83203125" defaultRowHeight="15" x14ac:dyDescent="0.2"/>
  <cols>
    <col min="1" max="1" width="8.6640625" bestFit="1" customWidth="1"/>
    <col min="2" max="2" width="5.5" bestFit="1" customWidth="1"/>
    <col min="3" max="3" width="12.5" bestFit="1" customWidth="1"/>
    <col min="4" max="4" width="8.33203125" bestFit="1" customWidth="1"/>
    <col min="5" max="5" width="13.5" bestFit="1" customWidth="1"/>
    <col min="6" max="6" width="12.83203125" bestFit="1" customWidth="1"/>
    <col min="9" max="9" width="14.5" bestFit="1" customWidth="1"/>
    <col min="10" max="10" width="17.33203125" bestFit="1" customWidth="1"/>
    <col min="11" max="11" width="7.5" bestFit="1" customWidth="1"/>
    <col min="12" max="41" width="20" bestFit="1" customWidth="1"/>
    <col min="42" max="43" width="12" bestFit="1" customWidth="1"/>
    <col min="44" max="44" width="3" bestFit="1" customWidth="1"/>
    <col min="45" max="45" width="12" bestFit="1" customWidth="1"/>
    <col min="46" max="46" width="3" bestFit="1" customWidth="1"/>
    <col min="47" max="47" width="12" bestFit="1" customWidth="1"/>
    <col min="48" max="48" width="3" bestFit="1" customWidth="1"/>
    <col min="49" max="49" width="8" bestFit="1" customWidth="1"/>
    <col min="50" max="50" width="3" bestFit="1" customWidth="1"/>
    <col min="51" max="51" width="8" bestFit="1" customWidth="1"/>
    <col min="52" max="54" width="12" bestFit="1" customWidth="1"/>
    <col min="55" max="56" width="3" bestFit="1" customWidth="1"/>
    <col min="57" max="57" width="12" bestFit="1" customWidth="1"/>
    <col min="58" max="61" width="3" bestFit="1" customWidth="1"/>
    <col min="62" max="62" width="12" bestFit="1" customWidth="1"/>
    <col min="63" max="63" width="3" bestFit="1" customWidth="1"/>
    <col min="64" max="64" width="12" bestFit="1" customWidth="1"/>
    <col min="65" max="65" width="3" bestFit="1" customWidth="1"/>
    <col min="66" max="67" width="12" bestFit="1" customWidth="1"/>
    <col min="68" max="68" width="9" bestFit="1" customWidth="1"/>
    <col min="69" max="69" width="8" bestFit="1" customWidth="1"/>
    <col min="70" max="71" width="12" bestFit="1" customWidth="1"/>
    <col min="72" max="72" width="3" bestFit="1" customWidth="1"/>
    <col min="73" max="73" width="12" bestFit="1" customWidth="1"/>
    <col min="74" max="74" width="7" bestFit="1" customWidth="1"/>
    <col min="75" max="75" width="3" bestFit="1" customWidth="1"/>
    <col min="76" max="76" width="12" bestFit="1" customWidth="1"/>
    <col min="77" max="77" width="3" bestFit="1" customWidth="1"/>
    <col min="78" max="78" width="12" bestFit="1" customWidth="1"/>
    <col min="79" max="79" width="4" bestFit="1" customWidth="1"/>
    <col min="80" max="80" width="12" bestFit="1" customWidth="1"/>
    <col min="81" max="81" width="7" bestFit="1" customWidth="1"/>
    <col min="82" max="83" width="12" bestFit="1" customWidth="1"/>
    <col min="84" max="84" width="7" bestFit="1" customWidth="1"/>
    <col min="85" max="85" width="8" bestFit="1" customWidth="1"/>
    <col min="86" max="87" width="12" bestFit="1" customWidth="1"/>
    <col min="88" max="89" width="4" bestFit="1" customWidth="1"/>
    <col min="90" max="90" width="12" bestFit="1" customWidth="1"/>
    <col min="91" max="91" width="4" bestFit="1" customWidth="1"/>
    <col min="92" max="93" width="12" bestFit="1" customWidth="1"/>
    <col min="94" max="94" width="4" bestFit="1" customWidth="1"/>
    <col min="95" max="95" width="10" bestFit="1" customWidth="1"/>
    <col min="96" max="96" width="6" bestFit="1" customWidth="1"/>
    <col min="97" max="97" width="11" bestFit="1" customWidth="1"/>
    <col min="98" max="98" width="12" bestFit="1" customWidth="1"/>
    <col min="99" max="100" width="4" bestFit="1" customWidth="1"/>
    <col min="101" max="102" width="7" bestFit="1" customWidth="1"/>
    <col min="103" max="103" width="12" bestFit="1" customWidth="1"/>
    <col min="104" max="104" width="7" bestFit="1" customWidth="1"/>
    <col min="105" max="111" width="12" bestFit="1" customWidth="1"/>
    <col min="112" max="112" width="7" bestFit="1" customWidth="1"/>
    <col min="113" max="117" width="12" bestFit="1" customWidth="1"/>
    <col min="118" max="118" width="4" bestFit="1" customWidth="1"/>
    <col min="119" max="119" width="11" bestFit="1" customWidth="1"/>
    <col min="120" max="120" width="12" bestFit="1" customWidth="1"/>
    <col min="121" max="123" width="7" bestFit="1" customWidth="1"/>
    <col min="124" max="124" width="12" bestFit="1" customWidth="1"/>
    <col min="125" max="127" width="7" bestFit="1" customWidth="1"/>
    <col min="128" max="128" width="4" bestFit="1" customWidth="1"/>
    <col min="129" max="129" width="9" bestFit="1" customWidth="1"/>
    <col min="130" max="130" width="7" bestFit="1" customWidth="1"/>
    <col min="131" max="131" width="11" bestFit="1" customWidth="1"/>
    <col min="132" max="132" width="7" bestFit="1" customWidth="1"/>
    <col min="133" max="133" width="12" bestFit="1" customWidth="1"/>
    <col min="134" max="134" width="4" bestFit="1" customWidth="1"/>
    <col min="135" max="136" width="12" bestFit="1" customWidth="1"/>
    <col min="137" max="137" width="11" bestFit="1" customWidth="1"/>
    <col min="138" max="138" width="12" bestFit="1" customWidth="1"/>
    <col min="139" max="140" width="4" bestFit="1" customWidth="1"/>
    <col min="141" max="142" width="12" bestFit="1" customWidth="1"/>
    <col min="143" max="143" width="9" bestFit="1" customWidth="1"/>
    <col min="144" max="144" width="12" bestFit="1" customWidth="1"/>
    <col min="145" max="145" width="10" bestFit="1" customWidth="1"/>
    <col min="146" max="147" width="12" bestFit="1" customWidth="1"/>
    <col min="148" max="149" width="7" bestFit="1" customWidth="1"/>
    <col min="150" max="150" width="12" bestFit="1" customWidth="1"/>
    <col min="151" max="151" width="7" bestFit="1" customWidth="1"/>
    <col min="152" max="152" width="4" bestFit="1" customWidth="1"/>
    <col min="153" max="153" width="12" bestFit="1" customWidth="1"/>
    <col min="154" max="154" width="4" bestFit="1" customWidth="1"/>
    <col min="155" max="155" width="7" bestFit="1" customWidth="1"/>
    <col min="156" max="157" width="12" bestFit="1" customWidth="1"/>
    <col min="158" max="158" width="10" bestFit="1" customWidth="1"/>
    <col min="159" max="162" width="12" bestFit="1" customWidth="1"/>
    <col min="163" max="163" width="6" bestFit="1" customWidth="1"/>
    <col min="164" max="166" width="12" bestFit="1" customWidth="1"/>
    <col min="167" max="169" width="7" bestFit="1" customWidth="1"/>
    <col min="170" max="170" width="4" bestFit="1" customWidth="1"/>
    <col min="171" max="171" width="11" bestFit="1" customWidth="1"/>
    <col min="172" max="172" width="4" bestFit="1" customWidth="1"/>
    <col min="173" max="174" width="12" bestFit="1" customWidth="1"/>
    <col min="175" max="176" width="7" bestFit="1" customWidth="1"/>
    <col min="177" max="178" width="12" bestFit="1" customWidth="1"/>
    <col min="179" max="179" width="7" bestFit="1" customWidth="1"/>
    <col min="180" max="180" width="9" bestFit="1" customWidth="1"/>
    <col min="181" max="181" width="11" bestFit="1" customWidth="1"/>
    <col min="182" max="182" width="12" bestFit="1" customWidth="1"/>
    <col min="183" max="183" width="10" bestFit="1" customWidth="1"/>
    <col min="184" max="184" width="4" bestFit="1" customWidth="1"/>
    <col min="185" max="186" width="7" bestFit="1" customWidth="1"/>
    <col min="187" max="187" width="12" bestFit="1" customWidth="1"/>
    <col min="188" max="188" width="7" bestFit="1" customWidth="1"/>
    <col min="189" max="189" width="12" bestFit="1" customWidth="1"/>
    <col min="190" max="190" width="7" bestFit="1" customWidth="1"/>
    <col min="191" max="191" width="4" bestFit="1" customWidth="1"/>
    <col min="192" max="192" width="6" bestFit="1" customWidth="1"/>
    <col min="193" max="193" width="12" bestFit="1" customWidth="1"/>
    <col min="194" max="194" width="4" bestFit="1" customWidth="1"/>
    <col min="195" max="195" width="11" bestFit="1" customWidth="1"/>
    <col min="196" max="196" width="9" bestFit="1" customWidth="1"/>
    <col min="197" max="197" width="10" bestFit="1" customWidth="1"/>
    <col min="198" max="198" width="12" bestFit="1" customWidth="1"/>
    <col min="199" max="199" width="10" bestFit="1" customWidth="1"/>
    <col min="200" max="200" width="12" bestFit="1" customWidth="1"/>
    <col min="201" max="201" width="9" bestFit="1" customWidth="1"/>
    <col min="202" max="202" width="7" bestFit="1" customWidth="1"/>
    <col min="203" max="203" width="12" bestFit="1" customWidth="1"/>
    <col min="204" max="204" width="4" bestFit="1" customWidth="1"/>
    <col min="205" max="205" width="9" bestFit="1" customWidth="1"/>
    <col min="206" max="206" width="4" bestFit="1" customWidth="1"/>
    <col min="207" max="207" width="7" bestFit="1" customWidth="1"/>
    <col min="208" max="209" width="12" bestFit="1" customWidth="1"/>
    <col min="210" max="210" width="5" bestFit="1" customWidth="1"/>
    <col min="211" max="211" width="8" bestFit="1" customWidth="1"/>
    <col min="212" max="212" width="11" bestFit="1" customWidth="1"/>
    <col min="213" max="213" width="12" bestFit="1" customWidth="1"/>
    <col min="214" max="215" width="7" bestFit="1" customWidth="1"/>
    <col min="216" max="216" width="9" bestFit="1" customWidth="1"/>
    <col min="217" max="217" width="5" bestFit="1" customWidth="1"/>
    <col min="218" max="218" width="9" bestFit="1" customWidth="1"/>
    <col min="219" max="219" width="12" bestFit="1" customWidth="1"/>
    <col min="220" max="220" width="11" bestFit="1" customWidth="1"/>
    <col min="221" max="221" width="7" bestFit="1" customWidth="1"/>
    <col min="222" max="222" width="12" bestFit="1" customWidth="1"/>
    <col min="223" max="223" width="5" bestFit="1" customWidth="1"/>
    <col min="224" max="224" width="12" bestFit="1" customWidth="1"/>
    <col min="225" max="225" width="5" bestFit="1" customWidth="1"/>
    <col min="226" max="227" width="11" bestFit="1" customWidth="1"/>
    <col min="228" max="228" width="8" bestFit="1" customWidth="1"/>
    <col min="229" max="230" width="12" bestFit="1" customWidth="1"/>
    <col min="231" max="233" width="8" bestFit="1" customWidth="1"/>
    <col min="234" max="234" width="12" bestFit="1" customWidth="1"/>
    <col min="235" max="235" width="10" bestFit="1" customWidth="1"/>
    <col min="236" max="236" width="8" bestFit="1" customWidth="1"/>
    <col min="237" max="237" width="5" bestFit="1" customWidth="1"/>
    <col min="238" max="239" width="12" bestFit="1" customWidth="1"/>
    <col min="240" max="240" width="5" bestFit="1" customWidth="1"/>
    <col min="241" max="241" width="12" bestFit="1" customWidth="1"/>
    <col min="242" max="242" width="10" bestFit="1" customWidth="1"/>
    <col min="243" max="246" width="12" bestFit="1" customWidth="1"/>
    <col min="247" max="247" width="8" bestFit="1" customWidth="1"/>
    <col min="248" max="249" width="5" bestFit="1" customWidth="1"/>
    <col min="250" max="250" width="7" bestFit="1" customWidth="1"/>
    <col min="251" max="251" width="12" bestFit="1" customWidth="1"/>
    <col min="252" max="252" width="8" bestFit="1" customWidth="1"/>
    <col min="253" max="254" width="11" bestFit="1" customWidth="1"/>
    <col min="255" max="255" width="8" bestFit="1" customWidth="1"/>
    <col min="256" max="257" width="12" bestFit="1" customWidth="1"/>
    <col min="258" max="258" width="8" bestFit="1" customWidth="1"/>
    <col min="259" max="259" width="10" bestFit="1" customWidth="1"/>
    <col min="260" max="260" width="12" bestFit="1" customWidth="1"/>
    <col min="261" max="262" width="8" bestFit="1" customWidth="1"/>
    <col min="263" max="265" width="12" bestFit="1" customWidth="1"/>
    <col min="266" max="267" width="8" bestFit="1" customWidth="1"/>
    <col min="268" max="269" width="12" bestFit="1" customWidth="1"/>
    <col min="270" max="270" width="8" bestFit="1" customWidth="1"/>
    <col min="271" max="271" width="10" bestFit="1" customWidth="1"/>
    <col min="272" max="273" width="12" bestFit="1" customWidth="1"/>
    <col min="274" max="274" width="8" bestFit="1" customWidth="1"/>
    <col min="275" max="275" width="11" bestFit="1" customWidth="1"/>
    <col min="276" max="279" width="12" bestFit="1" customWidth="1"/>
    <col min="280" max="280" width="10" bestFit="1" customWidth="1"/>
    <col min="281" max="281" width="12" bestFit="1" customWidth="1"/>
    <col min="282" max="282" width="8" bestFit="1" customWidth="1"/>
    <col min="283" max="283" width="12" bestFit="1" customWidth="1"/>
    <col min="284" max="284" width="8" bestFit="1" customWidth="1"/>
    <col min="285" max="285" width="12" bestFit="1" customWidth="1"/>
    <col min="286" max="286" width="9" bestFit="1" customWidth="1"/>
    <col min="287" max="287" width="11" bestFit="1" customWidth="1"/>
    <col min="288" max="288" width="6" bestFit="1" customWidth="1"/>
    <col min="289" max="289" width="12" bestFit="1" customWidth="1"/>
    <col min="290" max="290" width="8" bestFit="1" customWidth="1"/>
    <col min="291" max="291" width="11" bestFit="1" customWidth="1"/>
    <col min="292" max="292" width="9" bestFit="1" customWidth="1"/>
    <col min="293" max="294" width="12" bestFit="1" customWidth="1"/>
    <col min="295" max="295" width="9" bestFit="1" customWidth="1"/>
    <col min="296" max="296" width="6" bestFit="1" customWidth="1"/>
    <col min="297" max="297" width="9" bestFit="1" customWidth="1"/>
    <col min="298" max="303" width="12" bestFit="1" customWidth="1"/>
    <col min="304" max="304" width="9" bestFit="1" customWidth="1"/>
    <col min="305" max="305" width="12" bestFit="1" customWidth="1"/>
    <col min="306" max="306" width="9" bestFit="1" customWidth="1"/>
    <col min="307" max="307" width="12" bestFit="1" customWidth="1"/>
    <col min="308" max="308" width="9" bestFit="1" customWidth="1"/>
    <col min="309" max="309" width="6" bestFit="1" customWidth="1"/>
    <col min="310" max="310" width="11" bestFit="1" customWidth="1"/>
    <col min="311" max="311" width="12" bestFit="1" customWidth="1"/>
    <col min="312" max="312" width="11" bestFit="1" customWidth="1"/>
    <col min="313" max="313" width="12" bestFit="1" customWidth="1"/>
    <col min="314" max="314" width="9" bestFit="1" customWidth="1"/>
    <col min="315" max="315" width="12" bestFit="1" customWidth="1"/>
    <col min="316" max="316" width="9" bestFit="1" customWidth="1"/>
    <col min="317" max="317" width="12" bestFit="1" customWidth="1"/>
    <col min="318" max="318" width="6" bestFit="1" customWidth="1"/>
    <col min="319" max="319" width="12" bestFit="1" customWidth="1"/>
    <col min="320" max="320" width="9" bestFit="1" customWidth="1"/>
    <col min="321" max="321" width="6" bestFit="1" customWidth="1"/>
    <col min="322" max="323" width="12" bestFit="1" customWidth="1"/>
    <col min="324" max="326" width="6" bestFit="1" customWidth="1"/>
    <col min="327" max="327" width="12" bestFit="1" customWidth="1"/>
    <col min="328" max="328" width="6" bestFit="1" customWidth="1"/>
    <col min="329" max="329" width="12" bestFit="1" customWidth="1"/>
    <col min="330" max="330" width="6" bestFit="1" customWidth="1"/>
    <col min="331" max="335" width="12" bestFit="1" customWidth="1"/>
    <col min="336" max="337" width="11" bestFit="1" customWidth="1"/>
    <col min="338" max="340" width="12" bestFit="1" customWidth="1"/>
    <col min="341" max="341" width="9" bestFit="1" customWidth="1"/>
    <col min="342" max="343" width="12" bestFit="1" customWidth="1"/>
    <col min="344" max="346" width="10" bestFit="1" customWidth="1"/>
    <col min="347" max="348" width="12" bestFit="1" customWidth="1"/>
    <col min="349" max="349" width="10" bestFit="1" customWidth="1"/>
    <col min="350" max="350" width="12" bestFit="1" customWidth="1"/>
    <col min="351" max="353" width="10" bestFit="1" customWidth="1"/>
    <col min="354" max="354" width="12" bestFit="1" customWidth="1"/>
    <col min="355" max="355" width="10" bestFit="1" customWidth="1"/>
    <col min="356" max="356" width="12" bestFit="1" customWidth="1"/>
    <col min="357" max="359" width="10" bestFit="1" customWidth="1"/>
    <col min="360" max="360" width="12" bestFit="1" customWidth="1"/>
    <col min="361" max="362" width="10" bestFit="1" customWidth="1"/>
    <col min="363" max="363" width="9" bestFit="1" customWidth="1"/>
    <col min="364" max="367" width="10" bestFit="1" customWidth="1"/>
    <col min="368" max="369" width="12" bestFit="1" customWidth="1"/>
    <col min="370" max="370" width="10" bestFit="1" customWidth="1"/>
    <col min="371" max="371" width="7.33203125" bestFit="1" customWidth="1"/>
  </cols>
  <sheetData>
    <row r="1" spans="1:23" x14ac:dyDescent="0.2">
      <c r="A1" s="1" t="s">
        <v>175</v>
      </c>
      <c r="B1" s="1" t="s">
        <v>0</v>
      </c>
      <c r="C1" s="1" t="s">
        <v>2</v>
      </c>
      <c r="D1" s="1" t="s">
        <v>3</v>
      </c>
      <c r="E1" s="1" t="s">
        <v>328</v>
      </c>
      <c r="F1" s="1" t="s">
        <v>329</v>
      </c>
      <c r="I1" s="4" t="s">
        <v>328</v>
      </c>
      <c r="J1" t="s">
        <v>336</v>
      </c>
    </row>
    <row r="2" spans="1:23" x14ac:dyDescent="0.2">
      <c r="A2" t="s">
        <v>330</v>
      </c>
      <c r="B2">
        <f>ChugachRAW!A2</f>
        <v>2011</v>
      </c>
      <c r="C2" t="str">
        <f>ChugachRAW!C2</f>
        <v>Sport</v>
      </c>
      <c r="D2" t="str">
        <f>ChugachRAW!D2</f>
        <v>Chinook</v>
      </c>
      <c r="E2">
        <f>ChugachRAW!F2</f>
        <v>0</v>
      </c>
      <c r="F2">
        <f>ChugachRAW!G2</f>
        <v>0</v>
      </c>
      <c r="I2" s="4" t="s">
        <v>329</v>
      </c>
      <c r="J2" t="s">
        <v>336</v>
      </c>
    </row>
    <row r="3" spans="1:23" x14ac:dyDescent="0.2">
      <c r="A3" t="s">
        <v>330</v>
      </c>
      <c r="B3">
        <f>ChugachRAW!A3</f>
        <v>2012</v>
      </c>
      <c r="C3" t="str">
        <f>ChugachRAW!C3</f>
        <v>Sport</v>
      </c>
      <c r="D3" t="str">
        <f>ChugachRAW!D3</f>
        <v>Chinook</v>
      </c>
      <c r="E3">
        <f>ChugachRAW!F3</f>
        <v>0</v>
      </c>
      <c r="F3">
        <f>ChugachRAW!G3</f>
        <v>0</v>
      </c>
    </row>
    <row r="4" spans="1:23" x14ac:dyDescent="0.2">
      <c r="A4" t="s">
        <v>330</v>
      </c>
      <c r="B4">
        <f>ChugachRAW!A4</f>
        <v>2013</v>
      </c>
      <c r="C4" t="str">
        <f>ChugachRAW!C4</f>
        <v>Sport</v>
      </c>
      <c r="D4" t="str">
        <f>ChugachRAW!D4</f>
        <v>Chinook</v>
      </c>
      <c r="E4">
        <f>ChugachRAW!F4</f>
        <v>0</v>
      </c>
      <c r="F4">
        <f>ChugachRAW!G4</f>
        <v>0</v>
      </c>
      <c r="L4" s="4" t="s">
        <v>3</v>
      </c>
      <c r="M4" s="4" t="s">
        <v>335</v>
      </c>
    </row>
    <row r="5" spans="1:23" x14ac:dyDescent="0.2">
      <c r="A5" t="s">
        <v>330</v>
      </c>
      <c r="B5">
        <f>ChugachRAW!A5</f>
        <v>2014</v>
      </c>
      <c r="C5" t="str">
        <f>ChugachRAW!C5</f>
        <v>Sport</v>
      </c>
      <c r="D5" t="str">
        <f>ChugachRAW!D5</f>
        <v>Chinook</v>
      </c>
      <c r="E5">
        <f>ChugachRAW!F5</f>
        <v>0</v>
      </c>
      <c r="F5">
        <f>ChugachRAW!G5</f>
        <v>0</v>
      </c>
      <c r="L5" t="s">
        <v>9</v>
      </c>
      <c r="M5" t="s">
        <v>9</v>
      </c>
      <c r="N5" t="s">
        <v>53</v>
      </c>
      <c r="O5" t="s">
        <v>53</v>
      </c>
      <c r="P5" t="s">
        <v>31</v>
      </c>
      <c r="Q5" t="s">
        <v>31</v>
      </c>
      <c r="R5" t="s">
        <v>42</v>
      </c>
      <c r="S5" t="s">
        <v>42</v>
      </c>
      <c r="T5" t="s">
        <v>20</v>
      </c>
      <c r="U5" t="s">
        <v>20</v>
      </c>
      <c r="V5" t="s">
        <v>332</v>
      </c>
      <c r="W5" t="s">
        <v>332</v>
      </c>
    </row>
    <row r="6" spans="1:23" x14ac:dyDescent="0.2">
      <c r="A6" t="s">
        <v>330</v>
      </c>
      <c r="B6">
        <f>ChugachRAW!A6</f>
        <v>2015</v>
      </c>
      <c r="C6" t="str">
        <f>ChugachRAW!C6</f>
        <v>Sport</v>
      </c>
      <c r="D6" t="str">
        <f>ChugachRAW!D6</f>
        <v>Chinook</v>
      </c>
      <c r="E6">
        <f>ChugachRAW!F6</f>
        <v>0</v>
      </c>
      <c r="F6">
        <f>ChugachRAW!G6</f>
        <v>0</v>
      </c>
      <c r="I6" s="4" t="s">
        <v>2</v>
      </c>
      <c r="J6" s="4" t="s">
        <v>175</v>
      </c>
      <c r="K6" s="4" t="s">
        <v>0</v>
      </c>
      <c r="L6" t="s">
        <v>333</v>
      </c>
      <c r="M6" t="s">
        <v>334</v>
      </c>
      <c r="N6" t="s">
        <v>333</v>
      </c>
      <c r="O6" t="s">
        <v>334</v>
      </c>
      <c r="P6" t="s">
        <v>333</v>
      </c>
      <c r="Q6" t="s">
        <v>334</v>
      </c>
      <c r="R6" t="s">
        <v>333</v>
      </c>
      <c r="S6" t="s">
        <v>334</v>
      </c>
      <c r="T6" t="s">
        <v>333</v>
      </c>
      <c r="U6" t="s">
        <v>334</v>
      </c>
      <c r="V6" t="s">
        <v>333</v>
      </c>
      <c r="W6" t="s">
        <v>334</v>
      </c>
    </row>
    <row r="7" spans="1:23" x14ac:dyDescent="0.2">
      <c r="A7" t="s">
        <v>330</v>
      </c>
      <c r="B7">
        <f>ChugachRAW!A7</f>
        <v>2016</v>
      </c>
      <c r="C7" t="str">
        <f>ChugachRAW!C7</f>
        <v>Sport</v>
      </c>
      <c r="D7" t="str">
        <f>ChugachRAW!D7</f>
        <v>Chinook</v>
      </c>
      <c r="E7">
        <f>ChugachRAW!F7</f>
        <v>0</v>
      </c>
      <c r="F7">
        <f>ChugachRAW!G7</f>
        <v>0</v>
      </c>
      <c r="I7" t="s">
        <v>119</v>
      </c>
      <c r="J7" t="s">
        <v>330</v>
      </c>
      <c r="K7">
        <v>2011</v>
      </c>
      <c r="L7">
        <v>211.31</v>
      </c>
      <c r="M7">
        <v>1243</v>
      </c>
      <c r="P7">
        <v>1043.9000000000001</v>
      </c>
      <c r="Q7">
        <v>4745</v>
      </c>
      <c r="R7">
        <v>156.56</v>
      </c>
      <c r="S7">
        <v>3914</v>
      </c>
      <c r="T7">
        <v>274260.15000000002</v>
      </c>
      <c r="U7">
        <v>537765</v>
      </c>
    </row>
    <row r="8" spans="1:23" x14ac:dyDescent="0.2">
      <c r="A8" t="s">
        <v>330</v>
      </c>
      <c r="B8">
        <f>ChugachRAW!A8</f>
        <v>2017</v>
      </c>
      <c r="C8" t="str">
        <f>ChugachRAW!C8</f>
        <v>Sport</v>
      </c>
      <c r="D8" t="str">
        <f>ChugachRAW!D8</f>
        <v>Chinook</v>
      </c>
      <c r="E8">
        <f>ChugachRAW!F8</f>
        <v>0</v>
      </c>
      <c r="F8">
        <f>ChugachRAW!G8</f>
        <v>0</v>
      </c>
      <c r="I8" t="s">
        <v>119</v>
      </c>
      <c r="J8" t="s">
        <v>330</v>
      </c>
      <c r="K8">
        <v>2012</v>
      </c>
      <c r="L8">
        <v>6.8000000000000007</v>
      </c>
      <c r="M8">
        <v>40</v>
      </c>
      <c r="P8">
        <v>881.76</v>
      </c>
      <c r="Q8">
        <v>4008</v>
      </c>
      <c r="R8">
        <v>150.80000000000001</v>
      </c>
      <c r="S8">
        <v>3770</v>
      </c>
      <c r="T8">
        <v>268765.92</v>
      </c>
      <c r="U8">
        <v>526992</v>
      </c>
    </row>
    <row r="9" spans="1:23" x14ac:dyDescent="0.2">
      <c r="A9" t="s">
        <v>330</v>
      </c>
      <c r="B9">
        <f>ChugachRAW!A9</f>
        <v>2018</v>
      </c>
      <c r="C9" t="str">
        <f>ChugachRAW!C9</f>
        <v>Sport</v>
      </c>
      <c r="D9" t="str">
        <f>ChugachRAW!D9</f>
        <v>Chinook</v>
      </c>
      <c r="E9">
        <f>ChugachRAW!F9</f>
        <v>0</v>
      </c>
      <c r="F9">
        <f>ChugachRAW!G9</f>
        <v>0</v>
      </c>
      <c r="I9" t="s">
        <v>119</v>
      </c>
      <c r="J9" t="s">
        <v>330</v>
      </c>
      <c r="K9">
        <v>2013</v>
      </c>
      <c r="L9">
        <v>1.87</v>
      </c>
      <c r="M9">
        <v>11</v>
      </c>
      <c r="P9">
        <v>697.18</v>
      </c>
      <c r="Q9">
        <v>3169</v>
      </c>
      <c r="R9">
        <v>145</v>
      </c>
      <c r="S9">
        <v>3625</v>
      </c>
      <c r="T9">
        <v>177083.22</v>
      </c>
      <c r="U9">
        <v>347222</v>
      </c>
    </row>
    <row r="10" spans="1:23" x14ac:dyDescent="0.2">
      <c r="A10" t="s">
        <v>330</v>
      </c>
      <c r="B10">
        <f>ChugachRAW!A10</f>
        <v>2019</v>
      </c>
      <c r="C10" t="str">
        <f>ChugachRAW!C10</f>
        <v>Sport</v>
      </c>
      <c r="D10" t="str">
        <f>ChugachRAW!D10</f>
        <v>Chinook</v>
      </c>
      <c r="E10">
        <f>ChugachRAW!F10</f>
        <v>0</v>
      </c>
      <c r="F10">
        <f>ChugachRAW!G10</f>
        <v>0</v>
      </c>
      <c r="I10" t="s">
        <v>119</v>
      </c>
      <c r="J10" t="s">
        <v>330</v>
      </c>
      <c r="K10">
        <v>2014</v>
      </c>
      <c r="P10">
        <v>1036.2</v>
      </c>
      <c r="Q10">
        <v>4710</v>
      </c>
      <c r="R10">
        <v>765.6</v>
      </c>
      <c r="S10">
        <v>19140</v>
      </c>
      <c r="T10">
        <v>193709.73</v>
      </c>
      <c r="U10">
        <v>379823</v>
      </c>
    </row>
    <row r="11" spans="1:23" x14ac:dyDescent="0.2">
      <c r="A11" t="s">
        <v>330</v>
      </c>
      <c r="B11">
        <f>ChugachRAW!A11</f>
        <v>2020</v>
      </c>
      <c r="C11" t="str">
        <f>ChugachRAW!C11</f>
        <v>Sport</v>
      </c>
      <c r="D11" t="str">
        <f>ChugachRAW!D11</f>
        <v>Chinook</v>
      </c>
      <c r="E11">
        <f>ChugachRAW!F11</f>
        <v>0</v>
      </c>
      <c r="F11">
        <f>ChugachRAW!G11</f>
        <v>0</v>
      </c>
      <c r="I11" t="s">
        <v>119</v>
      </c>
      <c r="J11" t="s">
        <v>330</v>
      </c>
      <c r="K11">
        <v>2015</v>
      </c>
      <c r="L11">
        <v>11.22</v>
      </c>
      <c r="M11">
        <v>66</v>
      </c>
      <c r="P11">
        <v>913</v>
      </c>
      <c r="Q11">
        <v>4150</v>
      </c>
      <c r="R11">
        <v>165.88</v>
      </c>
      <c r="S11">
        <v>4147</v>
      </c>
      <c r="T11">
        <v>192541.32</v>
      </c>
      <c r="U11">
        <v>377532</v>
      </c>
    </row>
    <row r="12" spans="1:23" x14ac:dyDescent="0.2">
      <c r="A12" t="s">
        <v>330</v>
      </c>
      <c r="B12">
        <f>ChugachRAW!A12</f>
        <v>2011</v>
      </c>
      <c r="C12" t="str">
        <f>ChugachRAW!C12</f>
        <v>Sport</v>
      </c>
      <c r="D12" t="str">
        <f>ChugachRAW!D12</f>
        <v>Sockeye</v>
      </c>
      <c r="E12">
        <f>ChugachRAW!F12</f>
        <v>362.15125333333344</v>
      </c>
      <c r="F12">
        <f>ChugachRAW!G12</f>
        <v>646.69866666666678</v>
      </c>
      <c r="I12" t="s">
        <v>119</v>
      </c>
      <c r="J12" t="s">
        <v>330</v>
      </c>
      <c r="K12">
        <v>2016</v>
      </c>
      <c r="L12">
        <v>108.46000000000001</v>
      </c>
      <c r="M12">
        <v>638</v>
      </c>
      <c r="P12">
        <v>720.94</v>
      </c>
      <c r="Q12">
        <v>3277</v>
      </c>
      <c r="R12">
        <v>313.36</v>
      </c>
      <c r="S12">
        <v>7834</v>
      </c>
      <c r="T12">
        <v>132119.07</v>
      </c>
      <c r="U12">
        <v>259057</v>
      </c>
    </row>
    <row r="13" spans="1:23" x14ac:dyDescent="0.2">
      <c r="A13" t="s">
        <v>330</v>
      </c>
      <c r="B13">
        <f>ChugachRAW!A13</f>
        <v>2012</v>
      </c>
      <c r="C13" t="str">
        <f>ChugachRAW!C13</f>
        <v>Sport</v>
      </c>
      <c r="D13" t="str">
        <f>ChugachRAW!D13</f>
        <v>Sockeye</v>
      </c>
      <c r="E13">
        <f>ChugachRAW!F13</f>
        <v>396.83485333333334</v>
      </c>
      <c r="F13">
        <f>ChugachRAW!G13</f>
        <v>708.63366666666661</v>
      </c>
      <c r="I13" t="s">
        <v>119</v>
      </c>
      <c r="J13" t="s">
        <v>330</v>
      </c>
      <c r="K13">
        <v>2017</v>
      </c>
      <c r="L13">
        <v>202.98000000000002</v>
      </c>
      <c r="M13">
        <v>1194</v>
      </c>
      <c r="P13">
        <v>161.04</v>
      </c>
      <c r="Q13">
        <v>732</v>
      </c>
      <c r="R13">
        <v>318.48</v>
      </c>
      <c r="S13">
        <v>7962</v>
      </c>
      <c r="T13">
        <v>151494.99</v>
      </c>
      <c r="U13">
        <v>297049</v>
      </c>
    </row>
    <row r="14" spans="1:23" x14ac:dyDescent="0.2">
      <c r="A14" t="s">
        <v>330</v>
      </c>
      <c r="B14">
        <f>ChugachRAW!A14</f>
        <v>2013</v>
      </c>
      <c r="C14" t="str">
        <f>ChugachRAW!C14</f>
        <v>Sport</v>
      </c>
      <c r="D14" t="str">
        <f>ChugachRAW!D14</f>
        <v>Sockeye</v>
      </c>
      <c r="E14">
        <f>ChugachRAW!F14</f>
        <v>305.00138666666675</v>
      </c>
      <c r="F14">
        <f>ChugachRAW!G14</f>
        <v>544.64533333333338</v>
      </c>
      <c r="I14" t="s">
        <v>119</v>
      </c>
      <c r="J14" t="s">
        <v>330</v>
      </c>
      <c r="K14">
        <v>2018</v>
      </c>
      <c r="L14">
        <v>1.1900000000000002</v>
      </c>
      <c r="M14">
        <v>7</v>
      </c>
      <c r="P14">
        <v>116.38</v>
      </c>
      <c r="Q14">
        <v>529</v>
      </c>
      <c r="R14">
        <v>417.40000000000003</v>
      </c>
      <c r="S14">
        <v>10435</v>
      </c>
      <c r="T14">
        <v>84164.28</v>
      </c>
      <c r="U14">
        <v>165028</v>
      </c>
    </row>
    <row r="15" spans="1:23" x14ac:dyDescent="0.2">
      <c r="A15" t="s">
        <v>330</v>
      </c>
      <c r="B15">
        <f>ChugachRAW!A15</f>
        <v>2014</v>
      </c>
      <c r="C15" t="str">
        <f>ChugachRAW!C15</f>
        <v>Sport</v>
      </c>
      <c r="D15" t="str">
        <f>ChugachRAW!D15</f>
        <v>Sockeye</v>
      </c>
      <c r="E15">
        <f>ChugachRAW!F15</f>
        <v>302.48064000000005</v>
      </c>
      <c r="F15">
        <f>ChugachRAW!G15</f>
        <v>540.14400000000001</v>
      </c>
      <c r="I15" t="s">
        <v>119</v>
      </c>
      <c r="J15" t="s">
        <v>330</v>
      </c>
      <c r="K15">
        <v>2019</v>
      </c>
      <c r="L15">
        <v>5.1000000000000005</v>
      </c>
      <c r="M15">
        <v>30</v>
      </c>
      <c r="P15">
        <v>214.94</v>
      </c>
      <c r="Q15">
        <v>977</v>
      </c>
      <c r="R15">
        <v>185.24</v>
      </c>
      <c r="S15">
        <v>4631</v>
      </c>
      <c r="T15">
        <v>169018.08000000002</v>
      </c>
      <c r="U15">
        <v>331408</v>
      </c>
    </row>
    <row r="16" spans="1:23" x14ac:dyDescent="0.2">
      <c r="A16" t="s">
        <v>330</v>
      </c>
      <c r="B16">
        <f>ChugachRAW!A16</f>
        <v>2015</v>
      </c>
      <c r="C16" t="str">
        <f>ChugachRAW!C16</f>
        <v>Sport</v>
      </c>
      <c r="D16" t="str">
        <f>ChugachRAW!D16</f>
        <v>Sockeye</v>
      </c>
      <c r="E16">
        <f>ChugachRAW!F16</f>
        <v>149.01936000000001</v>
      </c>
      <c r="F16">
        <f>ChugachRAW!G16</f>
        <v>266.10599999999999</v>
      </c>
      <c r="I16" t="s">
        <v>119</v>
      </c>
      <c r="J16" t="s">
        <v>330</v>
      </c>
      <c r="K16">
        <v>2020</v>
      </c>
      <c r="L16">
        <v>3.91</v>
      </c>
      <c r="M16">
        <v>23</v>
      </c>
      <c r="P16">
        <v>225.06</v>
      </c>
      <c r="Q16">
        <v>1023</v>
      </c>
      <c r="R16">
        <v>544.88</v>
      </c>
      <c r="S16">
        <v>13622</v>
      </c>
      <c r="T16">
        <v>131510.64000000001</v>
      </c>
      <c r="U16">
        <v>257864</v>
      </c>
    </row>
    <row r="17" spans="1:21" x14ac:dyDescent="0.2">
      <c r="A17" t="s">
        <v>330</v>
      </c>
      <c r="B17">
        <f>ChugachRAW!A17</f>
        <v>2016</v>
      </c>
      <c r="C17" t="str">
        <f>ChugachRAW!C17</f>
        <v>Sport</v>
      </c>
      <c r="D17" t="str">
        <f>ChugachRAW!D17</f>
        <v>Sockeye</v>
      </c>
      <c r="E17">
        <f>ChugachRAW!F17</f>
        <v>71.303680000000014</v>
      </c>
      <c r="F17">
        <f>ChugachRAW!G17</f>
        <v>127.328</v>
      </c>
      <c r="I17" t="s">
        <v>119</v>
      </c>
      <c r="J17" t="s">
        <v>331</v>
      </c>
      <c r="K17">
        <v>2011</v>
      </c>
      <c r="L17">
        <v>2.0269630035703701</v>
      </c>
      <c r="M17">
        <v>3.92592592592593</v>
      </c>
      <c r="N17">
        <v>263.87037383979998</v>
      </c>
      <c r="O17">
        <v>278</v>
      </c>
      <c r="P17">
        <v>70.125360094794999</v>
      </c>
      <c r="Q17">
        <v>127.551867219917</v>
      </c>
      <c r="R17">
        <v>786.85251700159995</v>
      </c>
      <c r="S17">
        <v>1252</v>
      </c>
      <c r="T17">
        <v>2074.85381503279</v>
      </c>
      <c r="U17">
        <v>2790</v>
      </c>
    </row>
    <row r="18" spans="1:21" x14ac:dyDescent="0.2">
      <c r="A18" t="s">
        <v>330</v>
      </c>
      <c r="B18">
        <f>ChugachRAW!A18</f>
        <v>2017</v>
      </c>
      <c r="C18" t="str">
        <f>ChugachRAW!C18</f>
        <v>Sport</v>
      </c>
      <c r="D18" t="str">
        <f>ChugachRAW!D18</f>
        <v>Sockeye</v>
      </c>
      <c r="E18">
        <f>ChugachRAW!F18</f>
        <v>300.08440000000002</v>
      </c>
      <c r="F18">
        <f>ChugachRAW!G18</f>
        <v>535.86500000000001</v>
      </c>
      <c r="I18" t="s">
        <v>119</v>
      </c>
      <c r="J18" t="s">
        <v>331</v>
      </c>
      <c r="K18">
        <v>2012</v>
      </c>
      <c r="L18">
        <v>1.6213476370153801</v>
      </c>
      <c r="M18">
        <v>3</v>
      </c>
      <c r="N18">
        <v>295.62068809819999</v>
      </c>
      <c r="O18">
        <v>310</v>
      </c>
      <c r="P18">
        <v>63.599059975556102</v>
      </c>
      <c r="Q18">
        <v>116.198863636364</v>
      </c>
      <c r="R18">
        <v>404.5316257568</v>
      </c>
      <c r="S18">
        <v>518</v>
      </c>
      <c r="T18">
        <v>2078.9323259175299</v>
      </c>
      <c r="U18">
        <v>3028</v>
      </c>
    </row>
    <row r="19" spans="1:21" x14ac:dyDescent="0.2">
      <c r="A19" t="s">
        <v>330</v>
      </c>
      <c r="B19">
        <f>ChugachRAW!A19</f>
        <v>2018</v>
      </c>
      <c r="C19" t="str">
        <f>ChugachRAW!C19</f>
        <v>Sport</v>
      </c>
      <c r="D19" t="str">
        <f>ChugachRAW!D19</f>
        <v>Sockeye</v>
      </c>
      <c r="E19">
        <f>ChugachRAW!F19</f>
        <v>383.95616000000001</v>
      </c>
      <c r="F19">
        <f>ChugachRAW!G19</f>
        <v>685.63599999999997</v>
      </c>
      <c r="I19" t="s">
        <v>119</v>
      </c>
      <c r="J19" t="s">
        <v>331</v>
      </c>
      <c r="K19">
        <v>2013</v>
      </c>
      <c r="L19">
        <v>18.245131714399999</v>
      </c>
      <c r="M19">
        <v>29</v>
      </c>
      <c r="N19">
        <v>344.47795264400003</v>
      </c>
      <c r="O19">
        <v>370</v>
      </c>
      <c r="P19">
        <v>181.58128917880001</v>
      </c>
      <c r="Q19">
        <v>309</v>
      </c>
      <c r="R19">
        <v>525.97908932580003</v>
      </c>
      <c r="S19">
        <v>622</v>
      </c>
      <c r="T19">
        <v>1805.10899305014</v>
      </c>
      <c r="U19">
        <v>2736</v>
      </c>
    </row>
    <row r="20" spans="1:21" x14ac:dyDescent="0.2">
      <c r="A20" t="s">
        <v>330</v>
      </c>
      <c r="B20">
        <f>ChugachRAW!A20</f>
        <v>2019</v>
      </c>
      <c r="C20" t="str">
        <f>ChugachRAW!C20</f>
        <v>Sport</v>
      </c>
      <c r="D20" t="str">
        <f>ChugachRAW!D20</f>
        <v>Sockeye</v>
      </c>
      <c r="E20">
        <f>ChugachRAW!F20</f>
        <v>691.13258666666673</v>
      </c>
      <c r="F20">
        <f>ChugachRAW!G20</f>
        <v>1234.1653333333334</v>
      </c>
      <c r="I20" t="s">
        <v>119</v>
      </c>
      <c r="J20" t="s">
        <v>331</v>
      </c>
      <c r="K20">
        <v>2014</v>
      </c>
      <c r="L20">
        <v>16.124648542199999</v>
      </c>
      <c r="M20">
        <v>27</v>
      </c>
      <c r="N20">
        <v>196.46413390500001</v>
      </c>
      <c r="O20">
        <v>209</v>
      </c>
      <c r="P20">
        <v>102.300965657855</v>
      </c>
      <c r="Q20">
        <v>197.25451807228899</v>
      </c>
      <c r="R20">
        <v>301.8891146565</v>
      </c>
      <c r="S20">
        <v>387</v>
      </c>
      <c r="T20">
        <v>2183.5697238452999</v>
      </c>
      <c r="U20">
        <v>3057.0954216867499</v>
      </c>
    </row>
    <row r="21" spans="1:21" x14ac:dyDescent="0.2">
      <c r="A21" t="s">
        <v>330</v>
      </c>
      <c r="B21">
        <f>ChugachRAW!A21</f>
        <v>2020</v>
      </c>
      <c r="C21" t="str">
        <f>ChugachRAW!C21</f>
        <v>Sport</v>
      </c>
      <c r="D21" t="str">
        <f>ChugachRAW!D21</f>
        <v>Sockeye</v>
      </c>
      <c r="E21">
        <f>ChugachRAW!F21</f>
        <v>1127.53424</v>
      </c>
      <c r="F21">
        <f>ChugachRAW!G21</f>
        <v>2013.4539999999997</v>
      </c>
      <c r="I21" t="s">
        <v>119</v>
      </c>
      <c r="J21" t="s">
        <v>331</v>
      </c>
      <c r="K21">
        <v>2015</v>
      </c>
      <c r="L21">
        <v>25.216383908600001</v>
      </c>
      <c r="M21">
        <v>41</v>
      </c>
      <c r="N21">
        <v>278.8919990357</v>
      </c>
      <c r="O21">
        <v>286</v>
      </c>
      <c r="P21">
        <v>151.3564818971</v>
      </c>
      <c r="Q21">
        <v>285</v>
      </c>
      <c r="R21">
        <v>527.11594983129999</v>
      </c>
      <c r="S21">
        <v>778</v>
      </c>
      <c r="T21">
        <v>2125.1028559855399</v>
      </c>
      <c r="U21">
        <v>2854</v>
      </c>
    </row>
    <row r="22" spans="1:21" x14ac:dyDescent="0.2">
      <c r="A22" t="s">
        <v>330</v>
      </c>
      <c r="B22">
        <f>ChugachRAW!A22</f>
        <v>2011</v>
      </c>
      <c r="C22" t="str">
        <f>ChugachRAW!C22</f>
        <v>Sport</v>
      </c>
      <c r="D22" t="str">
        <f>ChugachRAW!D22</f>
        <v>Coho</v>
      </c>
      <c r="E22">
        <f>ChugachRAW!F22</f>
        <v>10213.23</v>
      </c>
      <c r="F22">
        <f>ChugachRAW!G22</f>
        <v>16743</v>
      </c>
      <c r="I22" t="s">
        <v>119</v>
      </c>
      <c r="J22" t="s">
        <v>331</v>
      </c>
      <c r="K22">
        <v>2016</v>
      </c>
      <c r="L22">
        <v>27.544770572800001</v>
      </c>
      <c r="M22">
        <v>57</v>
      </c>
      <c r="N22">
        <v>414.86846243600002</v>
      </c>
      <c r="O22">
        <v>433</v>
      </c>
      <c r="P22">
        <v>105.3549457294</v>
      </c>
      <c r="Q22">
        <v>193</v>
      </c>
      <c r="R22">
        <v>622.79437000200005</v>
      </c>
      <c r="S22">
        <v>906</v>
      </c>
      <c r="T22">
        <v>1597.8690583815701</v>
      </c>
      <c r="U22">
        <v>2404</v>
      </c>
    </row>
    <row r="23" spans="1:21" x14ac:dyDescent="0.2">
      <c r="A23" t="s">
        <v>330</v>
      </c>
      <c r="B23">
        <f>ChugachRAW!A23</f>
        <v>2012</v>
      </c>
      <c r="C23" t="str">
        <f>ChugachRAW!C23</f>
        <v>Sport</v>
      </c>
      <c r="D23" t="str">
        <f>ChugachRAW!D23</f>
        <v>Coho</v>
      </c>
      <c r="E23">
        <f>ChugachRAW!F23</f>
        <v>2653.5</v>
      </c>
      <c r="F23">
        <f>ChugachRAW!G23</f>
        <v>4350</v>
      </c>
      <c r="I23" t="s">
        <v>119</v>
      </c>
      <c r="J23" t="s">
        <v>331</v>
      </c>
      <c r="K23">
        <v>2017</v>
      </c>
      <c r="L23">
        <v>1.1112924446000001</v>
      </c>
      <c r="M23">
        <v>2</v>
      </c>
      <c r="N23">
        <v>169.16431988900001</v>
      </c>
      <c r="O23">
        <v>185</v>
      </c>
      <c r="P23">
        <v>4.8184446672450001</v>
      </c>
      <c r="Q23">
        <v>9.5000000000000107</v>
      </c>
      <c r="R23">
        <v>230.54415901620001</v>
      </c>
      <c r="S23">
        <v>395</v>
      </c>
      <c r="T23">
        <v>1165.6140493498301</v>
      </c>
      <c r="U23">
        <v>1778</v>
      </c>
    </row>
    <row r="24" spans="1:21" x14ac:dyDescent="0.2">
      <c r="A24" t="s">
        <v>330</v>
      </c>
      <c r="B24">
        <f>ChugachRAW!A24</f>
        <v>2013</v>
      </c>
      <c r="C24" t="str">
        <f>ChugachRAW!C24</f>
        <v>Sport</v>
      </c>
      <c r="D24" t="str">
        <f>ChugachRAW!D24</f>
        <v>Coho</v>
      </c>
      <c r="E24">
        <f>ChugachRAW!F24</f>
        <v>8976.15</v>
      </c>
      <c r="F24">
        <f>ChugachRAW!G24</f>
        <v>14715</v>
      </c>
      <c r="I24" t="s">
        <v>119</v>
      </c>
      <c r="J24" t="s">
        <v>331</v>
      </c>
      <c r="K24">
        <v>2018</v>
      </c>
      <c r="L24">
        <v>8.0361991583000005</v>
      </c>
      <c r="M24">
        <v>24</v>
      </c>
      <c r="N24">
        <v>576.89734213429995</v>
      </c>
      <c r="O24">
        <v>951</v>
      </c>
      <c r="P24">
        <v>171.35596652980001</v>
      </c>
      <c r="Q24">
        <v>303</v>
      </c>
      <c r="R24">
        <v>187.74059773350001</v>
      </c>
      <c r="S24">
        <v>270</v>
      </c>
      <c r="T24">
        <v>705.92062512241205</v>
      </c>
      <c r="U24">
        <v>1138</v>
      </c>
    </row>
    <row r="25" spans="1:21" x14ac:dyDescent="0.2">
      <c r="A25" t="s">
        <v>330</v>
      </c>
      <c r="B25">
        <f>ChugachRAW!A25</f>
        <v>2014</v>
      </c>
      <c r="C25" t="str">
        <f>ChugachRAW!C25</f>
        <v>Sport</v>
      </c>
      <c r="D25" t="str">
        <f>ChugachRAW!D25</f>
        <v>Coho</v>
      </c>
      <c r="E25">
        <f>ChugachRAW!F25</f>
        <v>4221.2925166666664</v>
      </c>
      <c r="F25">
        <f>ChugachRAW!G25</f>
        <v>6920.1516666666666</v>
      </c>
      <c r="I25" t="s">
        <v>119</v>
      </c>
      <c r="J25" t="s">
        <v>331</v>
      </c>
      <c r="K25">
        <v>2019</v>
      </c>
      <c r="L25">
        <v>17.319016215000001</v>
      </c>
      <c r="M25">
        <v>89</v>
      </c>
      <c r="N25">
        <v>120.8323091461</v>
      </c>
      <c r="O25">
        <v>149.63</v>
      </c>
      <c r="P25">
        <v>299.466636508877</v>
      </c>
      <c r="Q25">
        <v>444.050652741514</v>
      </c>
      <c r="R25">
        <v>144.03249563070801</v>
      </c>
      <c r="S25">
        <v>229.48358490566</v>
      </c>
      <c r="T25">
        <v>1454.60264831311</v>
      </c>
      <c r="U25">
        <v>2341.27962912463</v>
      </c>
    </row>
    <row r="26" spans="1:21" x14ac:dyDescent="0.2">
      <c r="A26" t="s">
        <v>330</v>
      </c>
      <c r="B26">
        <f>ChugachRAW!A26</f>
        <v>2015</v>
      </c>
      <c r="C26" t="str">
        <f>ChugachRAW!C26</f>
        <v>Sport</v>
      </c>
      <c r="D26" t="str">
        <f>ChugachRAW!D26</f>
        <v>Coho</v>
      </c>
      <c r="E26">
        <f>ChugachRAW!F26</f>
        <v>11535.1</v>
      </c>
      <c r="F26">
        <f>ChugachRAW!G26</f>
        <v>18910</v>
      </c>
      <c r="I26" t="s">
        <v>119</v>
      </c>
      <c r="J26" t="s">
        <v>331</v>
      </c>
      <c r="K26">
        <v>2020</v>
      </c>
      <c r="L26">
        <v>12.4677123415</v>
      </c>
      <c r="M26">
        <v>27.3</v>
      </c>
      <c r="N26">
        <v>4.3970705344100001</v>
      </c>
      <c r="O26">
        <v>4.8315000000000001</v>
      </c>
      <c r="P26">
        <v>202.280589854395</v>
      </c>
      <c r="Q26">
        <v>325.97183520599202</v>
      </c>
      <c r="R26">
        <v>415.674500855708</v>
      </c>
      <c r="S26">
        <v>486.60251121076197</v>
      </c>
      <c r="T26">
        <v>951.35837133373298</v>
      </c>
      <c r="U26">
        <v>1519.6953263274299</v>
      </c>
    </row>
    <row r="27" spans="1:21" x14ac:dyDescent="0.2">
      <c r="A27" t="s">
        <v>330</v>
      </c>
      <c r="B27">
        <f>ChugachRAW!A27</f>
        <v>2016</v>
      </c>
      <c r="C27" t="str">
        <f>ChugachRAW!C27</f>
        <v>Sport</v>
      </c>
      <c r="D27" t="str">
        <f>ChugachRAW!D27</f>
        <v>Coho</v>
      </c>
      <c r="E27">
        <f>ChugachRAW!F27</f>
        <v>1633.58</v>
      </c>
      <c r="F27">
        <f>ChugachRAW!G27</f>
        <v>2678</v>
      </c>
      <c r="I27" t="s">
        <v>8</v>
      </c>
      <c r="J27" t="s">
        <v>330</v>
      </c>
      <c r="K27">
        <v>2011</v>
      </c>
      <c r="L27">
        <v>1749.8100000000002</v>
      </c>
      <c r="M27">
        <v>10293</v>
      </c>
      <c r="N27">
        <v>95.738133333333337</v>
      </c>
      <c r="O27">
        <v>188.17266666666666</v>
      </c>
      <c r="P27">
        <v>46602.270000000004</v>
      </c>
      <c r="Q27">
        <v>87555</v>
      </c>
      <c r="R27">
        <v>2724.3936000000003</v>
      </c>
      <c r="S27">
        <v>6254.5039999999999</v>
      </c>
      <c r="T27">
        <v>240383.55125333334</v>
      </c>
      <c r="U27">
        <v>434629.69866666669</v>
      </c>
    </row>
    <row r="28" spans="1:21" x14ac:dyDescent="0.2">
      <c r="A28" t="s">
        <v>330</v>
      </c>
      <c r="B28">
        <f>ChugachRAW!A28</f>
        <v>2017</v>
      </c>
      <c r="C28" t="str">
        <f>ChugachRAW!C28</f>
        <v>Sport</v>
      </c>
      <c r="D28" t="str">
        <f>ChugachRAW!D28</f>
        <v>Coho</v>
      </c>
      <c r="E28">
        <f>ChugachRAW!F28</f>
        <v>6900.93</v>
      </c>
      <c r="F28">
        <f>ChugachRAW!G28</f>
        <v>11313</v>
      </c>
      <c r="I28" t="s">
        <v>8</v>
      </c>
      <c r="J28" t="s">
        <v>330</v>
      </c>
      <c r="K28">
        <v>2012</v>
      </c>
      <c r="L28">
        <v>206.04000000000002</v>
      </c>
      <c r="M28">
        <v>1212</v>
      </c>
      <c r="N28">
        <v>23.728000000000002</v>
      </c>
      <c r="O28">
        <v>382.16</v>
      </c>
      <c r="P28">
        <v>38631.040000000001</v>
      </c>
      <c r="Q28">
        <v>68725</v>
      </c>
      <c r="R28">
        <v>3262.0224499999999</v>
      </c>
      <c r="S28">
        <v>20284.380499999999</v>
      </c>
      <c r="T28">
        <v>263796.37485333334</v>
      </c>
      <c r="U28">
        <v>487280.63366666669</v>
      </c>
    </row>
    <row r="29" spans="1:21" x14ac:dyDescent="0.2">
      <c r="A29" t="s">
        <v>330</v>
      </c>
      <c r="B29">
        <f>ChugachRAW!A29</f>
        <v>2018</v>
      </c>
      <c r="C29" t="str">
        <f>ChugachRAW!C29</f>
        <v>Sport</v>
      </c>
      <c r="D29" t="str">
        <f>ChugachRAW!D29</f>
        <v>Coho</v>
      </c>
      <c r="E29">
        <f>ChugachRAW!F29</f>
        <v>5051.41</v>
      </c>
      <c r="F29">
        <f>ChugachRAW!G29</f>
        <v>8281</v>
      </c>
      <c r="I29" t="s">
        <v>8</v>
      </c>
      <c r="J29" t="s">
        <v>330</v>
      </c>
      <c r="K29">
        <v>2013</v>
      </c>
      <c r="L29">
        <v>238.85000000000002</v>
      </c>
      <c r="M29">
        <v>1405</v>
      </c>
      <c r="N29">
        <v>251.26666666666668</v>
      </c>
      <c r="O29">
        <v>440.83333333333337</v>
      </c>
      <c r="P29">
        <v>48919.03</v>
      </c>
      <c r="Q29">
        <v>92842</v>
      </c>
      <c r="R29">
        <v>2016.3513000000003</v>
      </c>
      <c r="S29">
        <v>5114.3903333333337</v>
      </c>
      <c r="T29">
        <v>270833.88138666668</v>
      </c>
      <c r="U29">
        <v>485197.64533333335</v>
      </c>
    </row>
    <row r="30" spans="1:21" x14ac:dyDescent="0.2">
      <c r="A30" t="s">
        <v>330</v>
      </c>
      <c r="B30">
        <f>ChugachRAW!A30</f>
        <v>2019</v>
      </c>
      <c r="C30" t="str">
        <f>ChugachRAW!C30</f>
        <v>Sport</v>
      </c>
      <c r="D30" t="str">
        <f>ChugachRAW!D30</f>
        <v>Coho</v>
      </c>
      <c r="E30">
        <f>ChugachRAW!F30</f>
        <v>7135.4275216666656</v>
      </c>
      <c r="F30">
        <f>ChugachRAW!G30</f>
        <v>11697.422166666665</v>
      </c>
      <c r="I30" t="s">
        <v>8</v>
      </c>
      <c r="J30" t="s">
        <v>330</v>
      </c>
      <c r="K30">
        <v>2014</v>
      </c>
      <c r="L30">
        <v>221.17000000000002</v>
      </c>
      <c r="M30">
        <v>1301</v>
      </c>
      <c r="N30">
        <v>105.98399999999999</v>
      </c>
      <c r="O30">
        <v>158.47999999999999</v>
      </c>
      <c r="P30">
        <v>43593.812516666672</v>
      </c>
      <c r="Q30">
        <v>93534.151666666672</v>
      </c>
      <c r="R30">
        <v>4785.5511000000006</v>
      </c>
      <c r="S30">
        <v>28773.545666666665</v>
      </c>
      <c r="T30">
        <v>238162.80064</v>
      </c>
      <c r="U30">
        <v>415208.14399999997</v>
      </c>
    </row>
    <row r="31" spans="1:21" x14ac:dyDescent="0.2">
      <c r="A31" t="s">
        <v>330</v>
      </c>
      <c r="B31">
        <f>ChugachRAW!A31</f>
        <v>2020</v>
      </c>
      <c r="C31" t="str">
        <f>ChugachRAW!C31</f>
        <v>Sport</v>
      </c>
      <c r="D31" t="str">
        <f>ChugachRAW!D31</f>
        <v>Coho</v>
      </c>
      <c r="E31">
        <f>ChugachRAW!F31</f>
        <v>4054.9811</v>
      </c>
      <c r="F31">
        <f>ChugachRAW!G31</f>
        <v>6647.51</v>
      </c>
      <c r="I31" t="s">
        <v>8</v>
      </c>
      <c r="J31" t="s">
        <v>330</v>
      </c>
      <c r="K31">
        <v>2015</v>
      </c>
      <c r="L31">
        <v>681.53000000000009</v>
      </c>
      <c r="M31">
        <v>4009</v>
      </c>
      <c r="N31">
        <v>476.92613333333338</v>
      </c>
      <c r="O31">
        <v>703.15766666666673</v>
      </c>
      <c r="P31">
        <v>64093.84</v>
      </c>
      <c r="Q31">
        <v>115981</v>
      </c>
      <c r="R31">
        <v>6844.0337</v>
      </c>
      <c r="S31">
        <v>11789.192999999999</v>
      </c>
      <c r="T31">
        <v>231561.57936</v>
      </c>
      <c r="U31">
        <v>411732.10600000003</v>
      </c>
    </row>
    <row r="32" spans="1:21" x14ac:dyDescent="0.2">
      <c r="A32" t="s">
        <v>330</v>
      </c>
      <c r="B32">
        <f>ChugachRAW!A32</f>
        <v>2011</v>
      </c>
      <c r="C32" t="str">
        <f>ChugachRAW!C32</f>
        <v>Sport</v>
      </c>
      <c r="D32" t="str">
        <f>ChugachRAW!D32</f>
        <v>Pink</v>
      </c>
      <c r="E32">
        <f>ChugachRAW!F32</f>
        <v>787.95360000000005</v>
      </c>
      <c r="F32">
        <f>ChugachRAW!G32</f>
        <v>875.50400000000002</v>
      </c>
      <c r="I32" t="s">
        <v>8</v>
      </c>
      <c r="J32" t="s">
        <v>330</v>
      </c>
      <c r="K32">
        <v>2016</v>
      </c>
      <c r="L32">
        <v>1449.0800000000002</v>
      </c>
      <c r="M32">
        <v>8524</v>
      </c>
      <c r="N32">
        <v>148.8184</v>
      </c>
      <c r="O32">
        <v>729.27300000000002</v>
      </c>
      <c r="P32">
        <v>33630.400000000001</v>
      </c>
      <c r="Q32">
        <v>65821</v>
      </c>
      <c r="R32">
        <v>4944.1909500000002</v>
      </c>
      <c r="S32">
        <v>27789.145499999999</v>
      </c>
      <c r="T32">
        <v>193365.32368</v>
      </c>
      <c r="U32">
        <v>354975.32799999998</v>
      </c>
    </row>
    <row r="33" spans="1:21" x14ac:dyDescent="0.2">
      <c r="A33" t="s">
        <v>330</v>
      </c>
      <c r="B33">
        <f>ChugachRAW!A33</f>
        <v>2012</v>
      </c>
      <c r="C33" t="str">
        <f>ChugachRAW!C33</f>
        <v>Sport</v>
      </c>
      <c r="D33" t="str">
        <f>ChugachRAW!D33</f>
        <v>Pink</v>
      </c>
      <c r="E33">
        <f>ChugachRAW!F33</f>
        <v>817.54244999999992</v>
      </c>
      <c r="F33">
        <f>ChugachRAW!G33</f>
        <v>908.38049999999987</v>
      </c>
      <c r="I33" t="s">
        <v>8</v>
      </c>
      <c r="J33" t="s">
        <v>330</v>
      </c>
      <c r="K33">
        <v>2017</v>
      </c>
      <c r="L33">
        <v>1666.3400000000001</v>
      </c>
      <c r="M33">
        <v>9802</v>
      </c>
      <c r="N33">
        <v>269.51413333333335</v>
      </c>
      <c r="O33">
        <v>328.64266666666663</v>
      </c>
      <c r="P33">
        <v>37422.870000000003</v>
      </c>
      <c r="Q33">
        <v>79608</v>
      </c>
      <c r="R33">
        <v>5472.4970000000003</v>
      </c>
      <c r="S33">
        <v>11255.263333333332</v>
      </c>
      <c r="T33">
        <v>186751.63439999998</v>
      </c>
      <c r="U33">
        <v>329775.86499999999</v>
      </c>
    </row>
    <row r="34" spans="1:21" x14ac:dyDescent="0.2">
      <c r="A34" t="s">
        <v>330</v>
      </c>
      <c r="B34">
        <f>ChugachRAW!A34</f>
        <v>2013</v>
      </c>
      <c r="C34" t="str">
        <f>ChugachRAW!C34</f>
        <v>Sport</v>
      </c>
      <c r="D34" t="str">
        <f>ChugachRAW!D34</f>
        <v>Pink</v>
      </c>
      <c r="E34">
        <f>ChugachRAW!F34</f>
        <v>839.15130000000022</v>
      </c>
      <c r="F34">
        <f>ChugachRAW!G34</f>
        <v>932.3903333333335</v>
      </c>
      <c r="I34" t="s">
        <v>8</v>
      </c>
      <c r="J34" t="s">
        <v>330</v>
      </c>
      <c r="K34">
        <v>2018</v>
      </c>
      <c r="L34">
        <v>331.67</v>
      </c>
      <c r="M34">
        <v>1951</v>
      </c>
      <c r="N34">
        <v>470.35306666666668</v>
      </c>
      <c r="O34">
        <v>516.44133333333332</v>
      </c>
      <c r="P34">
        <v>36550.39</v>
      </c>
      <c r="Q34">
        <v>79177</v>
      </c>
      <c r="R34">
        <v>5947.2480000000005</v>
      </c>
      <c r="S34">
        <v>25405.52</v>
      </c>
      <c r="T34">
        <v>131285.67616</v>
      </c>
      <c r="U34">
        <v>216196.636</v>
      </c>
    </row>
    <row r="35" spans="1:21" x14ac:dyDescent="0.2">
      <c r="A35" t="s">
        <v>330</v>
      </c>
      <c r="B35">
        <f>ChugachRAW!A35</f>
        <v>2014</v>
      </c>
      <c r="C35" t="str">
        <f>ChugachRAW!C35</f>
        <v>Sport</v>
      </c>
      <c r="D35" t="str">
        <f>ChugachRAW!D35</f>
        <v>Pink</v>
      </c>
      <c r="E35">
        <f>ChugachRAW!F35</f>
        <v>591.79110000000003</v>
      </c>
      <c r="F35">
        <f>ChugachRAW!G35</f>
        <v>657.54566666666665</v>
      </c>
      <c r="I35" t="s">
        <v>8</v>
      </c>
      <c r="J35" t="s">
        <v>330</v>
      </c>
      <c r="K35">
        <v>2019</v>
      </c>
      <c r="L35">
        <v>343.57000000000005</v>
      </c>
      <c r="M35">
        <v>2021</v>
      </c>
      <c r="N35">
        <v>394.63919999999996</v>
      </c>
      <c r="O35">
        <v>452.04899999999998</v>
      </c>
      <c r="P35">
        <v>39018.567521666664</v>
      </c>
      <c r="Q35">
        <v>75589.422166666656</v>
      </c>
      <c r="R35">
        <v>5252.9678000000004</v>
      </c>
      <c r="S35">
        <v>11481.875333333333</v>
      </c>
      <c r="T35">
        <v>321230.02258666669</v>
      </c>
      <c r="U35">
        <v>553758.16533333331</v>
      </c>
    </row>
    <row r="36" spans="1:21" x14ac:dyDescent="0.2">
      <c r="A36" t="s">
        <v>330</v>
      </c>
      <c r="B36">
        <f>ChugachRAW!A36</f>
        <v>2015</v>
      </c>
      <c r="C36" t="str">
        <f>ChugachRAW!C36</f>
        <v>Sport</v>
      </c>
      <c r="D36" t="str">
        <f>ChugachRAW!D36</f>
        <v>Pink</v>
      </c>
      <c r="E36">
        <f>ChugachRAW!F36</f>
        <v>2049.4737</v>
      </c>
      <c r="F36">
        <f>ChugachRAW!G36</f>
        <v>2277.1929999999998</v>
      </c>
      <c r="I36" t="s">
        <v>8</v>
      </c>
      <c r="J36" t="s">
        <v>330</v>
      </c>
      <c r="K36">
        <v>2020</v>
      </c>
      <c r="L36">
        <v>229.67000000000002</v>
      </c>
      <c r="M36">
        <v>1351</v>
      </c>
      <c r="N36">
        <v>137.96960000000001</v>
      </c>
      <c r="O36">
        <v>156.21199999999999</v>
      </c>
      <c r="P36">
        <v>26256.2611</v>
      </c>
      <c r="Q36">
        <v>50239.51</v>
      </c>
      <c r="R36">
        <v>6894.8702000000003</v>
      </c>
      <c r="S36">
        <v>22247.944666666666</v>
      </c>
      <c r="T36">
        <v>169039.45423999999</v>
      </c>
      <c r="U36">
        <v>295263.45400000003</v>
      </c>
    </row>
    <row r="37" spans="1:21" x14ac:dyDescent="0.2">
      <c r="A37" t="s">
        <v>330</v>
      </c>
      <c r="B37">
        <f>ChugachRAW!A37</f>
        <v>2016</v>
      </c>
      <c r="C37" t="str">
        <f>ChugachRAW!C37</f>
        <v>Sport</v>
      </c>
      <c r="D37" t="str">
        <f>ChugachRAW!D37</f>
        <v>Pink</v>
      </c>
      <c r="E37">
        <f>ChugachRAW!F37</f>
        <v>1018.0309500000001</v>
      </c>
      <c r="F37">
        <f>ChugachRAW!G37</f>
        <v>1131.1455000000001</v>
      </c>
      <c r="I37" t="s">
        <v>8</v>
      </c>
      <c r="J37" t="s">
        <v>331</v>
      </c>
      <c r="K37">
        <v>2011</v>
      </c>
      <c r="L37">
        <v>18630.475065341299</v>
      </c>
      <c r="M37">
        <v>18797.010068043601</v>
      </c>
      <c r="N37">
        <v>14483.2723294815</v>
      </c>
      <c r="O37">
        <v>14634.277888979501</v>
      </c>
      <c r="P37">
        <v>135379.86017985901</v>
      </c>
      <c r="Q37">
        <v>136931.434995485</v>
      </c>
      <c r="R37">
        <v>52051.303741058699</v>
      </c>
      <c r="S37">
        <v>53771.63</v>
      </c>
      <c r="T37">
        <v>14099.724674597799</v>
      </c>
      <c r="U37">
        <v>15005.05</v>
      </c>
    </row>
    <row r="38" spans="1:21" x14ac:dyDescent="0.2">
      <c r="A38" t="s">
        <v>330</v>
      </c>
      <c r="B38">
        <f>ChugachRAW!A38</f>
        <v>2017</v>
      </c>
      <c r="C38" t="str">
        <f>ChugachRAW!C38</f>
        <v>Sport</v>
      </c>
      <c r="D38" t="str">
        <f>ChugachRAW!D38</f>
        <v>Pink</v>
      </c>
      <c r="E38">
        <f>ChugachRAW!F38</f>
        <v>1077.537</v>
      </c>
      <c r="F38">
        <f>ChugachRAW!G38</f>
        <v>1197.2633333333333</v>
      </c>
      <c r="I38" t="s">
        <v>8</v>
      </c>
      <c r="J38" t="s">
        <v>331</v>
      </c>
      <c r="K38">
        <v>2012</v>
      </c>
      <c r="L38">
        <v>12855.241343052799</v>
      </c>
      <c r="M38">
        <v>12870.7699268739</v>
      </c>
      <c r="N38">
        <v>4337.8767442557801</v>
      </c>
      <c r="O38">
        <v>4419.5605416116296</v>
      </c>
      <c r="P38">
        <v>135729.72623894899</v>
      </c>
      <c r="Q38">
        <v>137538.94491196299</v>
      </c>
      <c r="R38">
        <v>50305.043447827898</v>
      </c>
      <c r="S38">
        <v>51743.5146271747</v>
      </c>
      <c r="T38">
        <v>8905.1018516831009</v>
      </c>
      <c r="U38">
        <v>9501</v>
      </c>
    </row>
    <row r="39" spans="1:21" x14ac:dyDescent="0.2">
      <c r="A39" t="s">
        <v>330</v>
      </c>
      <c r="B39">
        <f>ChugachRAW!A39</f>
        <v>2018</v>
      </c>
      <c r="C39" t="str">
        <f>ChugachRAW!C39</f>
        <v>Sport</v>
      </c>
      <c r="D39" t="str">
        <f>ChugachRAW!D39</f>
        <v>Pink</v>
      </c>
      <c r="E39">
        <f>ChugachRAW!F39</f>
        <v>1097.568</v>
      </c>
      <c r="F39">
        <f>ChugachRAW!G39</f>
        <v>1219.52</v>
      </c>
      <c r="I39" t="s">
        <v>8</v>
      </c>
      <c r="J39" t="s">
        <v>331</v>
      </c>
      <c r="K39">
        <v>2013</v>
      </c>
      <c r="L39">
        <v>12682.130012977001</v>
      </c>
      <c r="M39">
        <v>12940.747440732201</v>
      </c>
      <c r="N39">
        <v>15853.122100299201</v>
      </c>
      <c r="O39">
        <v>16097.192948865501</v>
      </c>
      <c r="P39">
        <v>191155.572467972</v>
      </c>
      <c r="Q39">
        <v>192935.75996857701</v>
      </c>
      <c r="R39">
        <v>71477.023199187301</v>
      </c>
      <c r="S39">
        <v>74115.245961356399</v>
      </c>
      <c r="T39">
        <v>13071.5004172557</v>
      </c>
      <c r="U39">
        <v>13476.2</v>
      </c>
    </row>
    <row r="40" spans="1:21" x14ac:dyDescent="0.2">
      <c r="A40" t="s">
        <v>330</v>
      </c>
      <c r="B40">
        <f>ChugachRAW!A40</f>
        <v>2019</v>
      </c>
      <c r="C40" t="str">
        <f>ChugachRAW!C40</f>
        <v>Sport</v>
      </c>
      <c r="D40" t="str">
        <f>ChugachRAW!D40</f>
        <v>Pink</v>
      </c>
      <c r="E40">
        <f>ChugachRAW!F40</f>
        <v>1740.4877999999999</v>
      </c>
      <c r="F40">
        <f>ChugachRAW!G40</f>
        <v>1933.8753333333332</v>
      </c>
      <c r="I40" t="s">
        <v>8</v>
      </c>
      <c r="J40" t="s">
        <v>331</v>
      </c>
      <c r="K40">
        <v>2014</v>
      </c>
      <c r="L40">
        <v>29941.309438873399</v>
      </c>
      <c r="M40">
        <v>30258.934438361099</v>
      </c>
      <c r="N40">
        <v>5708.0024813883701</v>
      </c>
      <c r="O40">
        <v>5932.4694240525196</v>
      </c>
      <c r="P40">
        <v>281137.31510453997</v>
      </c>
      <c r="Q40">
        <v>283375.10888408398</v>
      </c>
      <c r="R40">
        <v>61152.401405851102</v>
      </c>
      <c r="S40">
        <v>62129.08</v>
      </c>
      <c r="T40">
        <v>15256.635504161201</v>
      </c>
      <c r="U40">
        <v>16182.75</v>
      </c>
    </row>
    <row r="41" spans="1:21" x14ac:dyDescent="0.2">
      <c r="A41" t="s">
        <v>330</v>
      </c>
      <c r="B41">
        <f>ChugachRAW!A41</f>
        <v>2020</v>
      </c>
      <c r="C41" t="str">
        <f>ChugachRAW!C41</f>
        <v>Sport</v>
      </c>
      <c r="D41" t="str">
        <f>ChugachRAW!D41</f>
        <v>Pink</v>
      </c>
      <c r="E41">
        <f>ChugachRAW!F41</f>
        <v>905.35019999999986</v>
      </c>
      <c r="F41">
        <f>ChugachRAW!G41</f>
        <v>1005.9446666666665</v>
      </c>
      <c r="I41" t="s">
        <v>8</v>
      </c>
      <c r="J41" t="s">
        <v>331</v>
      </c>
      <c r="K41">
        <v>2015</v>
      </c>
      <c r="L41">
        <v>22957.015192597701</v>
      </c>
      <c r="M41">
        <v>23124.868968016199</v>
      </c>
      <c r="N41">
        <v>5823.4180473841898</v>
      </c>
      <c r="O41">
        <v>5994.3654345837103</v>
      </c>
      <c r="P41">
        <v>215609.63191542399</v>
      </c>
      <c r="Q41">
        <v>219133.75132224799</v>
      </c>
      <c r="R41">
        <v>73252.307639179606</v>
      </c>
      <c r="S41">
        <v>74880.81</v>
      </c>
      <c r="T41">
        <v>13198.245569913001</v>
      </c>
      <c r="U41">
        <v>14105.45</v>
      </c>
    </row>
    <row r="42" spans="1:21" x14ac:dyDescent="0.2">
      <c r="A42" t="s">
        <v>330</v>
      </c>
      <c r="B42">
        <f>ChugachRAW!A42</f>
        <v>2011</v>
      </c>
      <c r="C42" t="str">
        <f>ChugachRAW!C42</f>
        <v>Sport</v>
      </c>
      <c r="D42" t="str">
        <f>ChugachRAW!D42</f>
        <v>Chum</v>
      </c>
      <c r="E42">
        <f>ChugachRAW!F42</f>
        <v>61.73813333333333</v>
      </c>
      <c r="F42">
        <f>ChugachRAW!G42</f>
        <v>77.172666666666657</v>
      </c>
      <c r="I42" t="s">
        <v>8</v>
      </c>
      <c r="J42" t="s">
        <v>331</v>
      </c>
      <c r="K42">
        <v>2016</v>
      </c>
      <c r="L42">
        <v>21214.056187147798</v>
      </c>
      <c r="M42">
        <v>21806.162732819299</v>
      </c>
      <c r="N42">
        <v>6841.2835573185903</v>
      </c>
      <c r="O42">
        <v>6928.5792415389697</v>
      </c>
      <c r="P42">
        <v>181604.03959462099</v>
      </c>
      <c r="Q42">
        <v>184531.94539102601</v>
      </c>
      <c r="R42">
        <v>78250.3546095575</v>
      </c>
      <c r="S42">
        <v>79754.67</v>
      </c>
      <c r="T42">
        <v>10635.023603052399</v>
      </c>
      <c r="U42">
        <v>11210.75</v>
      </c>
    </row>
    <row r="43" spans="1:21" x14ac:dyDescent="0.2">
      <c r="A43" t="s">
        <v>330</v>
      </c>
      <c r="B43">
        <f>ChugachRAW!A43</f>
        <v>2012</v>
      </c>
      <c r="C43" t="str">
        <f>ChugachRAW!C43</f>
        <v>Sport</v>
      </c>
      <c r="D43" t="str">
        <f>ChugachRAW!D43</f>
        <v>Chum</v>
      </c>
      <c r="E43">
        <f>ChugachRAW!F43</f>
        <v>5.7280000000000006</v>
      </c>
      <c r="F43">
        <f>ChugachRAW!G43</f>
        <v>7.16</v>
      </c>
      <c r="I43" t="s">
        <v>8</v>
      </c>
      <c r="J43" t="s">
        <v>331</v>
      </c>
      <c r="K43">
        <v>2017</v>
      </c>
      <c r="L43">
        <v>16623.657584776502</v>
      </c>
      <c r="M43">
        <v>16825.082211600999</v>
      </c>
      <c r="N43">
        <v>3806.9303493395</v>
      </c>
      <c r="O43">
        <v>3944.2411080332399</v>
      </c>
      <c r="P43">
        <v>283894.97076624102</v>
      </c>
      <c r="Q43">
        <v>286475.91750234598</v>
      </c>
      <c r="R43">
        <v>73026.357198490499</v>
      </c>
      <c r="S43">
        <v>75871.33</v>
      </c>
      <c r="T43">
        <v>10123.8880921257</v>
      </c>
      <c r="U43">
        <v>10457.25</v>
      </c>
    </row>
    <row r="44" spans="1:21" x14ac:dyDescent="0.2">
      <c r="A44" t="s">
        <v>330</v>
      </c>
      <c r="B44">
        <f>ChugachRAW!A44</f>
        <v>2013</v>
      </c>
      <c r="C44" t="str">
        <f>ChugachRAW!C44</f>
        <v>Sport</v>
      </c>
      <c r="D44" t="str">
        <f>ChugachRAW!D44</f>
        <v>Chum</v>
      </c>
      <c r="E44">
        <f>ChugachRAW!F44</f>
        <v>162.26666666666668</v>
      </c>
      <c r="F44">
        <f>ChugachRAW!G44</f>
        <v>202.83333333333334</v>
      </c>
      <c r="I44" t="s">
        <v>8</v>
      </c>
      <c r="J44" t="s">
        <v>331</v>
      </c>
      <c r="K44">
        <v>2018</v>
      </c>
      <c r="L44">
        <v>7311.6785805396003</v>
      </c>
      <c r="M44">
        <v>7645.1052629532396</v>
      </c>
      <c r="N44">
        <v>2033.4639574949299</v>
      </c>
      <c r="O44">
        <v>2069.4091159772902</v>
      </c>
      <c r="P44">
        <v>129533.51671587399</v>
      </c>
      <c r="Q44">
        <v>131869.627169299</v>
      </c>
      <c r="R44">
        <v>47994.701975564298</v>
      </c>
      <c r="S44">
        <v>49279.040000000001</v>
      </c>
      <c r="T44">
        <v>7004.1102772313998</v>
      </c>
      <c r="U44">
        <v>7145.35</v>
      </c>
    </row>
    <row r="45" spans="1:21" x14ac:dyDescent="0.2">
      <c r="A45" t="s">
        <v>330</v>
      </c>
      <c r="B45">
        <f>ChugachRAW!A45</f>
        <v>2014</v>
      </c>
      <c r="C45" t="str">
        <f>ChugachRAW!C45</f>
        <v>Sport</v>
      </c>
      <c r="D45" t="str">
        <f>ChugachRAW!D45</f>
        <v>Chum</v>
      </c>
      <c r="E45">
        <f>ChugachRAW!F45</f>
        <v>85.983999999999995</v>
      </c>
      <c r="F45">
        <f>ChugachRAW!G45</f>
        <v>107.47999999999999</v>
      </c>
      <c r="I45" t="s">
        <v>8</v>
      </c>
      <c r="J45" t="s">
        <v>331</v>
      </c>
      <c r="K45">
        <v>2019</v>
      </c>
      <c r="L45">
        <v>8476.0113002647995</v>
      </c>
      <c r="M45">
        <v>8694.0868772775593</v>
      </c>
      <c r="N45">
        <v>6909.5224399170402</v>
      </c>
      <c r="O45">
        <v>7050.9043297314602</v>
      </c>
      <c r="P45">
        <v>162723.64387412701</v>
      </c>
      <c r="Q45">
        <v>167385.53396199</v>
      </c>
      <c r="R45">
        <v>79204.336872482498</v>
      </c>
      <c r="S45">
        <v>80244.439933613306</v>
      </c>
      <c r="T45">
        <v>9173.5484033563007</v>
      </c>
      <c r="U45">
        <v>9839</v>
      </c>
    </row>
    <row r="46" spans="1:21" x14ac:dyDescent="0.2">
      <c r="A46" t="s">
        <v>330</v>
      </c>
      <c r="B46">
        <f>ChugachRAW!A46</f>
        <v>2015</v>
      </c>
      <c r="C46" t="str">
        <f>ChugachRAW!C46</f>
        <v>Sport</v>
      </c>
      <c r="D46" t="str">
        <f>ChugachRAW!D46</f>
        <v>Chum</v>
      </c>
      <c r="E46">
        <f>ChugachRAW!F46</f>
        <v>144.92613333333335</v>
      </c>
      <c r="F46">
        <f>ChugachRAW!G46</f>
        <v>181.15766666666667</v>
      </c>
      <c r="I46" t="s">
        <v>8</v>
      </c>
      <c r="J46" t="s">
        <v>331</v>
      </c>
      <c r="K46">
        <v>2020</v>
      </c>
      <c r="L46">
        <v>11139.4205733252</v>
      </c>
      <c r="M46">
        <v>11283.024901479699</v>
      </c>
      <c r="N46">
        <v>3383.3839992325402</v>
      </c>
      <c r="O46">
        <v>3555.9690718954298</v>
      </c>
      <c r="P46">
        <v>103242.67745323</v>
      </c>
      <c r="Q46">
        <v>106830.872155876</v>
      </c>
      <c r="R46">
        <v>48182.333331378803</v>
      </c>
      <c r="S46">
        <v>49392.285939092202</v>
      </c>
      <c r="T46">
        <v>6678.1240765762996</v>
      </c>
      <c r="U46">
        <v>7141.6</v>
      </c>
    </row>
    <row r="47" spans="1:21" x14ac:dyDescent="0.2">
      <c r="A47" t="s">
        <v>330</v>
      </c>
      <c r="B47">
        <f>ChugachRAW!A47</f>
        <v>2016</v>
      </c>
      <c r="C47" t="str">
        <f>ChugachRAW!C47</f>
        <v>Sport</v>
      </c>
      <c r="D47" t="str">
        <f>ChugachRAW!D47</f>
        <v>Chum</v>
      </c>
      <c r="E47">
        <f>ChugachRAW!F47</f>
        <v>5.8184000000000005</v>
      </c>
      <c r="F47">
        <f>ChugachRAW!G47</f>
        <v>7.2729999999999997</v>
      </c>
      <c r="I47" t="s">
        <v>68</v>
      </c>
      <c r="J47" t="s">
        <v>330</v>
      </c>
      <c r="K47">
        <v>2011</v>
      </c>
      <c r="N47">
        <v>28.539733333333334</v>
      </c>
      <c r="O47">
        <v>35.674666666666667</v>
      </c>
      <c r="P47">
        <v>913.65</v>
      </c>
      <c r="Q47">
        <v>1139</v>
      </c>
      <c r="R47">
        <v>12.6435</v>
      </c>
      <c r="S47">
        <v>14.048333333333332</v>
      </c>
      <c r="T47">
        <v>1838.7519466666668</v>
      </c>
      <c r="U47">
        <v>3917.2713333333336</v>
      </c>
    </row>
    <row r="48" spans="1:21" x14ac:dyDescent="0.2">
      <c r="A48" t="s">
        <v>330</v>
      </c>
      <c r="B48">
        <f>ChugachRAW!A48</f>
        <v>2017</v>
      </c>
      <c r="C48" t="str">
        <f>ChugachRAW!C48</f>
        <v>Sport</v>
      </c>
      <c r="D48" t="str">
        <f>ChugachRAW!D48</f>
        <v>Chum</v>
      </c>
      <c r="E48">
        <f>ChugachRAW!F48</f>
        <v>188.51413333333335</v>
      </c>
      <c r="F48">
        <f>ChugachRAW!G48</f>
        <v>235.64266666666666</v>
      </c>
      <c r="I48" t="s">
        <v>68</v>
      </c>
      <c r="J48" t="s">
        <v>330</v>
      </c>
      <c r="K48">
        <v>2012</v>
      </c>
      <c r="N48">
        <v>20.125600000000002</v>
      </c>
      <c r="O48">
        <v>25.157</v>
      </c>
      <c r="P48">
        <v>485.95</v>
      </c>
      <c r="Q48">
        <v>523</v>
      </c>
      <c r="T48">
        <v>2972.4133333333334</v>
      </c>
      <c r="U48">
        <v>6665.1666666666661</v>
      </c>
    </row>
    <row r="49" spans="1:21" x14ac:dyDescent="0.2">
      <c r="A49" t="s">
        <v>330</v>
      </c>
      <c r="B49">
        <f>ChugachRAW!A49</f>
        <v>2018</v>
      </c>
      <c r="C49" t="str">
        <f>ChugachRAW!C49</f>
        <v>Sport</v>
      </c>
      <c r="D49" t="str">
        <f>ChugachRAW!D49</f>
        <v>Chum</v>
      </c>
      <c r="E49">
        <f>ChugachRAW!F49</f>
        <v>184.35306666666668</v>
      </c>
      <c r="F49">
        <f>ChugachRAW!G49</f>
        <v>230.44133333333332</v>
      </c>
      <c r="I49" t="s">
        <v>68</v>
      </c>
      <c r="J49" t="s">
        <v>330</v>
      </c>
      <c r="K49">
        <v>2013</v>
      </c>
      <c r="N49">
        <v>119.072</v>
      </c>
      <c r="O49">
        <v>148.84</v>
      </c>
      <c r="P49">
        <v>499.68</v>
      </c>
      <c r="Q49">
        <v>611</v>
      </c>
      <c r="T49">
        <v>3132.5862800000004</v>
      </c>
      <c r="U49">
        <v>7165.9880000000003</v>
      </c>
    </row>
    <row r="50" spans="1:21" x14ac:dyDescent="0.2">
      <c r="A50" t="s">
        <v>330</v>
      </c>
      <c r="B50">
        <f>ChugachRAW!A50</f>
        <v>2019</v>
      </c>
      <c r="C50" t="str">
        <f>ChugachRAW!C50</f>
        <v>Sport</v>
      </c>
      <c r="D50" t="str">
        <f>ChugachRAW!D50</f>
        <v>Chum</v>
      </c>
      <c r="E50">
        <f>ChugachRAW!F50</f>
        <v>229.63919999999999</v>
      </c>
      <c r="F50">
        <f>ChugachRAW!G50</f>
        <v>287.04899999999998</v>
      </c>
      <c r="I50" t="s">
        <v>68</v>
      </c>
      <c r="J50" t="s">
        <v>330</v>
      </c>
      <c r="K50">
        <v>2014</v>
      </c>
      <c r="P50">
        <v>673.27</v>
      </c>
      <c r="Q50">
        <v>715</v>
      </c>
      <c r="R50">
        <v>0.80099999999999993</v>
      </c>
      <c r="S50">
        <v>0.8899999999999999</v>
      </c>
      <c r="T50">
        <v>1359.29483</v>
      </c>
      <c r="U50">
        <v>2880.1929999999998</v>
      </c>
    </row>
    <row r="51" spans="1:21" x14ac:dyDescent="0.2">
      <c r="A51" t="s">
        <v>330</v>
      </c>
      <c r="B51">
        <f>ChugachRAW!A51</f>
        <v>2020</v>
      </c>
      <c r="C51" t="str">
        <f>ChugachRAW!C51</f>
        <v>Sport</v>
      </c>
      <c r="D51" t="str">
        <f>ChugachRAW!D51</f>
        <v>Chum</v>
      </c>
      <c r="E51">
        <f>ChugachRAW!F51</f>
        <v>72.9696</v>
      </c>
      <c r="F51">
        <f>ChugachRAW!G51</f>
        <v>91.212000000000003</v>
      </c>
      <c r="I51" t="s">
        <v>68</v>
      </c>
      <c r="J51" t="s">
        <v>330</v>
      </c>
      <c r="K51">
        <v>2015</v>
      </c>
      <c r="N51">
        <v>8.4391999999999996</v>
      </c>
      <c r="O51">
        <v>10.548999999999999</v>
      </c>
      <c r="P51">
        <v>1009.88</v>
      </c>
      <c r="Q51">
        <v>1081</v>
      </c>
      <c r="T51">
        <v>1323.6477400000001</v>
      </c>
      <c r="U51">
        <v>2778.4659999999999</v>
      </c>
    </row>
    <row r="52" spans="1:21" x14ac:dyDescent="0.2">
      <c r="A52" t="s">
        <v>330</v>
      </c>
      <c r="B52">
        <f>ChugachRAW!A52</f>
        <v>2011</v>
      </c>
      <c r="C52" t="str">
        <f>ChugachRAW!C52</f>
        <v>Sport</v>
      </c>
      <c r="D52" t="str">
        <f>ChugachRAW!D52</f>
        <v>Sockeye</v>
      </c>
      <c r="E52">
        <f>ChugachRAW!F52</f>
        <v>1005</v>
      </c>
      <c r="F52">
        <f>ChugachRAW!G52</f>
        <v>1005</v>
      </c>
      <c r="I52" t="s">
        <v>68</v>
      </c>
      <c r="J52" t="s">
        <v>330</v>
      </c>
      <c r="K52">
        <v>2016</v>
      </c>
      <c r="L52">
        <v>0.17</v>
      </c>
      <c r="M52">
        <v>1</v>
      </c>
      <c r="P52">
        <v>557.27</v>
      </c>
      <c r="Q52">
        <v>558</v>
      </c>
      <c r="T52">
        <v>1713.9102933333334</v>
      </c>
      <c r="U52">
        <v>3289.3076666666666</v>
      </c>
    </row>
    <row r="53" spans="1:21" x14ac:dyDescent="0.2">
      <c r="A53" t="s">
        <v>330</v>
      </c>
      <c r="B53">
        <f>ChugachRAW!A53</f>
        <v>2012</v>
      </c>
      <c r="C53" t="str">
        <f>ChugachRAW!C53</f>
        <v>Sport</v>
      </c>
      <c r="D53" t="str">
        <f>ChugachRAW!D53</f>
        <v>Sockeye</v>
      </c>
      <c r="E53">
        <f>ChugachRAW!F53</f>
        <v>764</v>
      </c>
      <c r="F53">
        <f>ChugachRAW!G53</f>
        <v>764</v>
      </c>
      <c r="I53" t="s">
        <v>68</v>
      </c>
      <c r="J53" t="s">
        <v>330</v>
      </c>
      <c r="K53">
        <v>2017</v>
      </c>
      <c r="L53">
        <v>0.34</v>
      </c>
      <c r="M53">
        <v>2</v>
      </c>
      <c r="N53">
        <v>2.6840000000000002</v>
      </c>
      <c r="O53">
        <v>3.355</v>
      </c>
      <c r="P53">
        <v>585.88</v>
      </c>
      <c r="Q53">
        <v>624</v>
      </c>
      <c r="R53">
        <v>0.44</v>
      </c>
      <c r="S53">
        <v>11</v>
      </c>
      <c r="T53">
        <v>3220.6760800000002</v>
      </c>
      <c r="U53">
        <v>6760.3680000000004</v>
      </c>
    </row>
    <row r="54" spans="1:21" x14ac:dyDescent="0.2">
      <c r="A54" t="s">
        <v>330</v>
      </c>
      <c r="B54">
        <f>ChugachRAW!A54</f>
        <v>2013</v>
      </c>
      <c r="C54" t="str">
        <f>ChugachRAW!C54</f>
        <v>Sport</v>
      </c>
      <c r="D54" t="str">
        <f>ChugachRAW!D54</f>
        <v>Sockeye</v>
      </c>
      <c r="E54">
        <f>ChugachRAW!F54</f>
        <v>343</v>
      </c>
      <c r="F54">
        <f>ChugachRAW!G54</f>
        <v>343</v>
      </c>
      <c r="I54" t="s">
        <v>68</v>
      </c>
      <c r="J54" t="s">
        <v>330</v>
      </c>
      <c r="K54">
        <v>2018</v>
      </c>
      <c r="N54">
        <v>19.738666666666667</v>
      </c>
      <c r="O54">
        <v>24.673333333333328</v>
      </c>
      <c r="P54">
        <v>449.18999999999994</v>
      </c>
      <c r="Q54">
        <v>519</v>
      </c>
      <c r="R54">
        <v>6.1989000000000001</v>
      </c>
      <c r="S54">
        <v>12.620999999999999</v>
      </c>
      <c r="T54">
        <v>4080.8928533333333</v>
      </c>
      <c r="U54">
        <v>9106.3086666666677</v>
      </c>
    </row>
    <row r="55" spans="1:21" x14ac:dyDescent="0.2">
      <c r="A55" t="s">
        <v>330</v>
      </c>
      <c r="B55">
        <f>ChugachRAW!A55</f>
        <v>2014</v>
      </c>
      <c r="C55" t="str">
        <f>ChugachRAW!C55</f>
        <v>Sport</v>
      </c>
      <c r="D55" t="str">
        <f>ChugachRAW!D55</f>
        <v>Sockeye</v>
      </c>
      <c r="E55">
        <f>ChugachRAW!F55</f>
        <v>87</v>
      </c>
      <c r="F55">
        <f>ChugachRAW!G55</f>
        <v>87</v>
      </c>
      <c r="I55" t="s">
        <v>68</v>
      </c>
      <c r="J55" t="s">
        <v>330</v>
      </c>
      <c r="K55">
        <v>2019</v>
      </c>
      <c r="L55">
        <v>1.87</v>
      </c>
      <c r="M55">
        <v>11</v>
      </c>
      <c r="N55">
        <v>12.019200000000001</v>
      </c>
      <c r="O55">
        <v>15.024000000000001</v>
      </c>
      <c r="P55">
        <v>805.30090999999993</v>
      </c>
      <c r="Q55">
        <v>837.25099999999998</v>
      </c>
      <c r="R55">
        <v>1.9813000000000001</v>
      </c>
      <c r="S55">
        <v>3.157</v>
      </c>
      <c r="T55">
        <v>4568.3302933333325</v>
      </c>
      <c r="U55">
        <v>9847.7526666666672</v>
      </c>
    </row>
    <row r="56" spans="1:21" x14ac:dyDescent="0.2">
      <c r="A56" t="s">
        <v>330</v>
      </c>
      <c r="B56">
        <f>ChugachRAW!A56</f>
        <v>2015</v>
      </c>
      <c r="C56" t="str">
        <f>ChugachRAW!C56</f>
        <v>Sport</v>
      </c>
      <c r="D56" t="str">
        <f>ChugachRAW!D56</f>
        <v>Sockeye</v>
      </c>
      <c r="E56">
        <f>ChugachRAW!F56</f>
        <v>155</v>
      </c>
      <c r="F56">
        <f>ChugachRAW!G56</f>
        <v>155</v>
      </c>
      <c r="I56" t="s">
        <v>68</v>
      </c>
      <c r="J56" t="s">
        <v>330</v>
      </c>
      <c r="K56">
        <v>2020</v>
      </c>
      <c r="N56">
        <v>15.807200000000003</v>
      </c>
      <c r="O56">
        <v>19.759</v>
      </c>
      <c r="P56">
        <v>507.07732499999997</v>
      </c>
      <c r="Q56">
        <v>586.20249999999999</v>
      </c>
      <c r="R56">
        <v>22.125299999999999</v>
      </c>
      <c r="S56">
        <v>24.583666666666666</v>
      </c>
      <c r="T56">
        <v>6183.6607999999997</v>
      </c>
      <c r="U56">
        <v>13639.18</v>
      </c>
    </row>
    <row r="57" spans="1:21" x14ac:dyDescent="0.2">
      <c r="A57" t="s">
        <v>330</v>
      </c>
      <c r="B57">
        <f>ChugachRAW!A57</f>
        <v>2016</v>
      </c>
      <c r="C57" t="str">
        <f>ChugachRAW!C57</f>
        <v>Sport</v>
      </c>
      <c r="D57" t="str">
        <f>ChugachRAW!D57</f>
        <v>Sockeye</v>
      </c>
      <c r="E57">
        <f>ChugachRAW!F57</f>
        <v>246</v>
      </c>
      <c r="F57">
        <f>ChugachRAW!G57</f>
        <v>246</v>
      </c>
      <c r="I57" t="s">
        <v>68</v>
      </c>
      <c r="J57" t="s">
        <v>331</v>
      </c>
      <c r="K57">
        <v>2011</v>
      </c>
      <c r="L57">
        <v>243.55415409346199</v>
      </c>
      <c r="M57">
        <v>330.67324218750002</v>
      </c>
      <c r="N57">
        <v>88.486956284986604</v>
      </c>
      <c r="O57">
        <v>184.00478543563099</v>
      </c>
      <c r="P57">
        <v>950.53469526669403</v>
      </c>
      <c r="Q57">
        <v>1129.4900456621001</v>
      </c>
      <c r="R57">
        <v>424.33096980035998</v>
      </c>
      <c r="S57">
        <v>780.54</v>
      </c>
      <c r="T57">
        <v>15946.7688657708</v>
      </c>
      <c r="U57">
        <v>22467.5</v>
      </c>
    </row>
    <row r="58" spans="1:21" x14ac:dyDescent="0.2">
      <c r="A58" t="s">
        <v>330</v>
      </c>
      <c r="B58">
        <f>ChugachRAW!A58</f>
        <v>2017</v>
      </c>
      <c r="C58" t="str">
        <f>ChugachRAW!C58</f>
        <v>Sport</v>
      </c>
      <c r="D58" t="str">
        <f>ChugachRAW!D58</f>
        <v>Sockeye</v>
      </c>
      <c r="E58">
        <f>ChugachRAW!F58</f>
        <v>134</v>
      </c>
      <c r="F58">
        <f>ChugachRAW!G58</f>
        <v>134</v>
      </c>
      <c r="I58" t="s">
        <v>68</v>
      </c>
      <c r="J58" t="s">
        <v>331</v>
      </c>
      <c r="K58">
        <v>2012</v>
      </c>
      <c r="L58">
        <v>187.96864389794001</v>
      </c>
      <c r="M58">
        <v>259.49</v>
      </c>
      <c r="N58">
        <v>32.970392313961497</v>
      </c>
      <c r="O58">
        <v>57.615199409158002</v>
      </c>
      <c r="P58">
        <v>1101.23121119539</v>
      </c>
      <c r="Q58">
        <v>1329.6334245917401</v>
      </c>
      <c r="R58">
        <v>595.13538798523803</v>
      </c>
      <c r="S58">
        <v>827.81832376578598</v>
      </c>
      <c r="T58">
        <v>17116.161833585102</v>
      </c>
      <c r="U58">
        <v>25180.1</v>
      </c>
    </row>
    <row r="59" spans="1:21" x14ac:dyDescent="0.2">
      <c r="A59" t="s">
        <v>330</v>
      </c>
      <c r="B59">
        <f>ChugachRAW!A59</f>
        <v>2018</v>
      </c>
      <c r="C59" t="str">
        <f>ChugachRAW!C59</f>
        <v>Sport</v>
      </c>
      <c r="D59" t="str">
        <f>ChugachRAW!D59</f>
        <v>Sockeye</v>
      </c>
      <c r="E59">
        <f>ChugachRAW!F59</f>
        <v>22</v>
      </c>
      <c r="F59">
        <f>ChugachRAW!G59</f>
        <v>22</v>
      </c>
      <c r="I59" t="s">
        <v>68</v>
      </c>
      <c r="J59" t="s">
        <v>331</v>
      </c>
      <c r="K59">
        <v>2013</v>
      </c>
      <c r="L59">
        <v>342.88267484694001</v>
      </c>
      <c r="M59">
        <v>441.65</v>
      </c>
      <c r="N59">
        <v>4.8980266634190004</v>
      </c>
      <c r="O59">
        <v>9.9655000000000094</v>
      </c>
      <c r="P59">
        <v>191.76192106308</v>
      </c>
      <c r="Q59">
        <v>380.71819038642798</v>
      </c>
      <c r="R59">
        <v>70.164375239969999</v>
      </c>
      <c r="S59">
        <v>605.37</v>
      </c>
      <c r="T59">
        <v>16364.4011313395</v>
      </c>
      <c r="U59">
        <v>22911.200000000001</v>
      </c>
    </row>
    <row r="60" spans="1:21" x14ac:dyDescent="0.2">
      <c r="A60" t="s">
        <v>330</v>
      </c>
      <c r="B60">
        <f>ChugachRAW!A60</f>
        <v>2019</v>
      </c>
      <c r="C60" t="str">
        <f>ChugachRAW!C60</f>
        <v>Sport</v>
      </c>
      <c r="D60" t="str">
        <f>ChugachRAW!D60</f>
        <v>Sockeye</v>
      </c>
      <c r="E60">
        <f>ChugachRAW!F60</f>
        <v>518</v>
      </c>
      <c r="F60">
        <f>ChugachRAW!G60</f>
        <v>518</v>
      </c>
      <c r="I60" t="s">
        <v>68</v>
      </c>
      <c r="J60" t="s">
        <v>331</v>
      </c>
      <c r="K60">
        <v>2014</v>
      </c>
      <c r="L60">
        <v>281.82002222903998</v>
      </c>
      <c r="M60">
        <v>399</v>
      </c>
      <c r="N60">
        <v>212.57722723449999</v>
      </c>
      <c r="O60">
        <v>303</v>
      </c>
      <c r="P60">
        <v>322.29805954097998</v>
      </c>
      <c r="Q60">
        <v>565.42999999999995</v>
      </c>
      <c r="R60">
        <v>606.33078792499998</v>
      </c>
      <c r="S60">
        <v>786.5</v>
      </c>
      <c r="T60">
        <v>15315.4645290013</v>
      </c>
      <c r="U60">
        <v>20240.900000000001</v>
      </c>
    </row>
    <row r="61" spans="1:21" x14ac:dyDescent="0.2">
      <c r="A61" t="s">
        <v>330</v>
      </c>
      <c r="B61">
        <f>ChugachRAW!A61</f>
        <v>2020</v>
      </c>
      <c r="C61" t="str">
        <f>ChugachRAW!C61</f>
        <v>Sport</v>
      </c>
      <c r="D61" t="str">
        <f>ChugachRAW!D61</f>
        <v>Sockeye</v>
      </c>
      <c r="E61">
        <f>ChugachRAW!F61</f>
        <v>282</v>
      </c>
      <c r="F61">
        <f>ChugachRAW!G61</f>
        <v>282</v>
      </c>
      <c r="I61" t="s">
        <v>68</v>
      </c>
      <c r="J61" t="s">
        <v>331</v>
      </c>
      <c r="K61">
        <v>2015</v>
      </c>
      <c r="L61">
        <v>109.908319058564</v>
      </c>
      <c r="M61">
        <v>159.515037593985</v>
      </c>
      <c r="N61">
        <v>84.892803952549997</v>
      </c>
      <c r="O61">
        <v>192.5</v>
      </c>
      <c r="P61">
        <v>887.33835956038001</v>
      </c>
      <c r="Q61">
        <v>1156.18</v>
      </c>
      <c r="R61">
        <v>448.97359253929</v>
      </c>
      <c r="S61">
        <v>735.85</v>
      </c>
      <c r="T61">
        <v>13492.5027503905</v>
      </c>
      <c r="U61">
        <v>17177.996431449301</v>
      </c>
    </row>
    <row r="62" spans="1:21" x14ac:dyDescent="0.2">
      <c r="A62" t="s">
        <v>330</v>
      </c>
      <c r="B62">
        <f>ChugachRAW!A62</f>
        <v>2011</v>
      </c>
      <c r="C62" t="str">
        <f>ChugachRAW!C62</f>
        <v>Sport</v>
      </c>
      <c r="D62" t="str">
        <f>ChugachRAW!D62</f>
        <v>Coho</v>
      </c>
      <c r="E62">
        <f>ChugachRAW!F62</f>
        <v>21240</v>
      </c>
      <c r="F62">
        <f>ChugachRAW!G62</f>
        <v>21240</v>
      </c>
      <c r="I62" t="s">
        <v>68</v>
      </c>
      <c r="J62" t="s">
        <v>331</v>
      </c>
      <c r="K62">
        <v>2016</v>
      </c>
      <c r="L62">
        <v>177.80072088276</v>
      </c>
      <c r="M62">
        <v>235.33</v>
      </c>
      <c r="N62">
        <v>173.85845094786001</v>
      </c>
      <c r="O62">
        <v>269.98</v>
      </c>
      <c r="P62">
        <v>1029.12878833272</v>
      </c>
      <c r="Q62">
        <v>1227.73</v>
      </c>
      <c r="R62">
        <v>768.24953565021997</v>
      </c>
      <c r="S62">
        <v>967.41</v>
      </c>
      <c r="T62">
        <v>13898.0784366675</v>
      </c>
      <c r="U62">
        <v>19572.7</v>
      </c>
    </row>
    <row r="63" spans="1:21" x14ac:dyDescent="0.2">
      <c r="A63" t="s">
        <v>330</v>
      </c>
      <c r="B63">
        <f>ChugachRAW!A63</f>
        <v>2012</v>
      </c>
      <c r="C63" t="str">
        <f>ChugachRAW!C63</f>
        <v>Sport</v>
      </c>
      <c r="D63" t="str">
        <f>ChugachRAW!D63</f>
        <v>Coho</v>
      </c>
      <c r="E63">
        <f>ChugachRAW!F63</f>
        <v>22493</v>
      </c>
      <c r="F63">
        <f>ChugachRAW!G63</f>
        <v>22493</v>
      </c>
      <c r="I63" t="s">
        <v>68</v>
      </c>
      <c r="J63" t="s">
        <v>331</v>
      </c>
      <c r="K63">
        <v>2017</v>
      </c>
      <c r="L63">
        <v>200.43835799510001</v>
      </c>
      <c r="M63">
        <v>257.5</v>
      </c>
      <c r="N63">
        <v>80.968760175900002</v>
      </c>
      <c r="O63">
        <v>252.49</v>
      </c>
      <c r="P63">
        <v>579.61690744528005</v>
      </c>
      <c r="Q63">
        <v>778.82</v>
      </c>
      <c r="R63">
        <v>257.34645486907999</v>
      </c>
      <c r="S63">
        <v>577.65</v>
      </c>
      <c r="T63">
        <v>12012.4116031305</v>
      </c>
      <c r="U63">
        <v>17135.099999999999</v>
      </c>
    </row>
    <row r="64" spans="1:21" x14ac:dyDescent="0.2">
      <c r="A64" t="s">
        <v>330</v>
      </c>
      <c r="B64">
        <f>ChugachRAW!A64</f>
        <v>2013</v>
      </c>
      <c r="C64" t="str">
        <f>ChugachRAW!C64</f>
        <v>Sport</v>
      </c>
      <c r="D64" t="str">
        <f>ChugachRAW!D64</f>
        <v>Coho</v>
      </c>
      <c r="E64">
        <f>ChugachRAW!F64</f>
        <v>23953</v>
      </c>
      <c r="F64">
        <f>ChugachRAW!G64</f>
        <v>23953</v>
      </c>
      <c r="I64" t="s">
        <v>68</v>
      </c>
      <c r="J64" t="s">
        <v>331</v>
      </c>
      <c r="K64">
        <v>2018</v>
      </c>
      <c r="L64">
        <v>115.25290170469999</v>
      </c>
      <c r="M64">
        <v>208.15</v>
      </c>
      <c r="N64">
        <v>140.0255991825</v>
      </c>
      <c r="O64">
        <v>237.14</v>
      </c>
      <c r="P64">
        <v>1183.50605700491</v>
      </c>
      <c r="Q64">
        <v>1383.35</v>
      </c>
      <c r="R64">
        <v>307.22266613682001</v>
      </c>
      <c r="S64">
        <v>504.49</v>
      </c>
      <c r="T64">
        <v>12374.831761465201</v>
      </c>
      <c r="U64">
        <v>22250.1</v>
      </c>
    </row>
    <row r="65" spans="1:21" x14ac:dyDescent="0.2">
      <c r="A65" t="s">
        <v>330</v>
      </c>
      <c r="B65">
        <f>ChugachRAW!A65</f>
        <v>2014</v>
      </c>
      <c r="C65" t="str">
        <f>ChugachRAW!C65</f>
        <v>Sport</v>
      </c>
      <c r="D65" t="str">
        <f>ChugachRAW!D65</f>
        <v>Coho</v>
      </c>
      <c r="E65">
        <f>ChugachRAW!F65</f>
        <v>22133</v>
      </c>
      <c r="F65">
        <f>ChugachRAW!G65</f>
        <v>22133</v>
      </c>
      <c r="I65" t="s">
        <v>68</v>
      </c>
      <c r="J65" t="s">
        <v>331</v>
      </c>
      <c r="K65">
        <v>2019</v>
      </c>
      <c r="L65">
        <v>151.22588897067999</v>
      </c>
      <c r="M65">
        <v>221.5</v>
      </c>
      <c r="N65">
        <v>179.99527551828001</v>
      </c>
      <c r="O65">
        <v>220.98</v>
      </c>
      <c r="P65">
        <v>830.83692132114004</v>
      </c>
      <c r="Q65">
        <v>988.76</v>
      </c>
      <c r="R65">
        <v>438.51596362946299</v>
      </c>
      <c r="S65">
        <v>769.171279212792</v>
      </c>
      <c r="T65">
        <v>13257.054412563901</v>
      </c>
      <c r="U65">
        <v>22970.725222197801</v>
      </c>
    </row>
    <row r="66" spans="1:21" x14ac:dyDescent="0.2">
      <c r="A66" t="s">
        <v>330</v>
      </c>
      <c r="B66">
        <f>ChugachRAW!A66</f>
        <v>2015</v>
      </c>
      <c r="C66" t="str">
        <f>ChugachRAW!C66</f>
        <v>Sport</v>
      </c>
      <c r="D66" t="str">
        <f>ChugachRAW!D66</f>
        <v>Coho</v>
      </c>
      <c r="E66">
        <f>ChugachRAW!F66</f>
        <v>34830</v>
      </c>
      <c r="F66">
        <f>ChugachRAW!G66</f>
        <v>34830</v>
      </c>
      <c r="I66" t="s">
        <v>68</v>
      </c>
      <c r="J66" t="s">
        <v>331</v>
      </c>
      <c r="K66">
        <v>2020</v>
      </c>
      <c r="L66">
        <v>120.94699652742</v>
      </c>
      <c r="M66">
        <v>243.12</v>
      </c>
      <c r="N66">
        <v>72.999564284499996</v>
      </c>
      <c r="O66">
        <v>158.81</v>
      </c>
      <c r="P66">
        <v>817.18219535870003</v>
      </c>
      <c r="Q66">
        <v>908.15</v>
      </c>
      <c r="R66">
        <v>-13.8247489463712</v>
      </c>
      <c r="S66">
        <v>476.26849707912902</v>
      </c>
      <c r="T66">
        <v>7041.8241283323796</v>
      </c>
      <c r="U66">
        <v>12222.871347734101</v>
      </c>
    </row>
    <row r="67" spans="1:21" x14ac:dyDescent="0.2">
      <c r="A67" t="s">
        <v>330</v>
      </c>
      <c r="B67">
        <f>ChugachRAW!A67</f>
        <v>2016</v>
      </c>
      <c r="C67" t="str">
        <f>ChugachRAW!C67</f>
        <v>Sport</v>
      </c>
      <c r="D67" t="str">
        <f>ChugachRAW!D67</f>
        <v>Coho</v>
      </c>
      <c r="E67">
        <f>ChugachRAW!F67</f>
        <v>18558</v>
      </c>
      <c r="F67">
        <f>ChugachRAW!G67</f>
        <v>18558</v>
      </c>
      <c r="I67" t="s">
        <v>332</v>
      </c>
      <c r="J67" t="s">
        <v>332</v>
      </c>
      <c r="K67" t="s">
        <v>332</v>
      </c>
    </row>
    <row r="68" spans="1:21" x14ac:dyDescent="0.2">
      <c r="A68" t="s">
        <v>330</v>
      </c>
      <c r="B68">
        <f>ChugachRAW!A68</f>
        <v>2017</v>
      </c>
      <c r="C68" t="str">
        <f>ChugachRAW!C68</f>
        <v>Sport</v>
      </c>
      <c r="D68" t="str">
        <f>ChugachRAW!D68</f>
        <v>Coho</v>
      </c>
      <c r="E68">
        <f>ChugachRAW!F68</f>
        <v>15143</v>
      </c>
      <c r="F68">
        <f>ChugachRAW!G68</f>
        <v>15143</v>
      </c>
    </row>
    <row r="69" spans="1:21" x14ac:dyDescent="0.2">
      <c r="A69" t="s">
        <v>330</v>
      </c>
      <c r="B69">
        <f>ChugachRAW!A69</f>
        <v>2018</v>
      </c>
      <c r="C69" t="str">
        <f>ChugachRAW!C69</f>
        <v>Sport</v>
      </c>
      <c r="D69" t="str">
        <f>ChugachRAW!D69</f>
        <v>Coho</v>
      </c>
      <c r="E69">
        <f>ChugachRAW!F69</f>
        <v>12743</v>
      </c>
      <c r="F69">
        <f>ChugachRAW!G69</f>
        <v>12743</v>
      </c>
    </row>
    <row r="70" spans="1:21" x14ac:dyDescent="0.2">
      <c r="A70" t="s">
        <v>330</v>
      </c>
      <c r="B70">
        <f>ChugachRAW!A70</f>
        <v>2019</v>
      </c>
      <c r="C70" t="str">
        <f>ChugachRAW!C70</f>
        <v>Sport</v>
      </c>
      <c r="D70" t="str">
        <f>ChugachRAW!D70</f>
        <v>Coho</v>
      </c>
      <c r="E70">
        <f>ChugachRAW!F70</f>
        <v>16800</v>
      </c>
      <c r="F70">
        <f>ChugachRAW!G70</f>
        <v>16800</v>
      </c>
    </row>
    <row r="71" spans="1:21" x14ac:dyDescent="0.2">
      <c r="A71" t="s">
        <v>330</v>
      </c>
      <c r="B71">
        <f>ChugachRAW!A71</f>
        <v>2020</v>
      </c>
      <c r="C71" t="str">
        <f>ChugachRAW!C71</f>
        <v>Sport</v>
      </c>
      <c r="D71" t="str">
        <f>ChugachRAW!D71</f>
        <v>Coho</v>
      </c>
      <c r="E71">
        <f>ChugachRAW!F71</f>
        <v>10669</v>
      </c>
      <c r="F71">
        <f>ChugachRAW!G71</f>
        <v>10669</v>
      </c>
    </row>
    <row r="72" spans="1:21" x14ac:dyDescent="0.2">
      <c r="A72" t="s">
        <v>330</v>
      </c>
      <c r="B72">
        <f>ChugachRAW!A72</f>
        <v>2011</v>
      </c>
      <c r="C72" t="str">
        <f>ChugachRAW!C72</f>
        <v>Sport</v>
      </c>
      <c r="D72" t="str">
        <f>ChugachRAW!D72</f>
        <v>Pink</v>
      </c>
      <c r="E72">
        <f>ChugachRAW!F72</f>
        <v>200</v>
      </c>
      <c r="F72">
        <f>ChugachRAW!G72</f>
        <v>200</v>
      </c>
    </row>
    <row r="73" spans="1:21" x14ac:dyDescent="0.2">
      <c r="A73" t="s">
        <v>330</v>
      </c>
      <c r="B73">
        <f>ChugachRAW!A73</f>
        <v>2012</v>
      </c>
      <c r="C73" t="str">
        <f>ChugachRAW!C73</f>
        <v>Sport</v>
      </c>
      <c r="D73" t="str">
        <f>ChugachRAW!D73</f>
        <v>Pink</v>
      </c>
      <c r="E73">
        <f>ChugachRAW!F73</f>
        <v>0</v>
      </c>
      <c r="F73">
        <f>ChugachRAW!G73</f>
        <v>0</v>
      </c>
    </row>
    <row r="74" spans="1:21" x14ac:dyDescent="0.2">
      <c r="A74" t="s">
        <v>330</v>
      </c>
      <c r="B74">
        <f>ChugachRAW!A74</f>
        <v>2013</v>
      </c>
      <c r="C74" t="str">
        <f>ChugachRAW!C74</f>
        <v>Sport</v>
      </c>
      <c r="D74" t="str">
        <f>ChugachRAW!D74</f>
        <v>Pink</v>
      </c>
      <c r="E74">
        <f>ChugachRAW!F74</f>
        <v>32</v>
      </c>
      <c r="F74">
        <f>ChugachRAW!G74</f>
        <v>32</v>
      </c>
    </row>
    <row r="75" spans="1:21" x14ac:dyDescent="0.2">
      <c r="A75" t="s">
        <v>330</v>
      </c>
      <c r="B75">
        <f>ChugachRAW!A75</f>
        <v>2014</v>
      </c>
      <c r="C75" t="str">
        <f>ChugachRAW!C75</f>
        <v>Sport</v>
      </c>
      <c r="D75" t="str">
        <f>ChugachRAW!D75</f>
        <v>Pink</v>
      </c>
      <c r="E75">
        <f>ChugachRAW!F75</f>
        <v>12</v>
      </c>
      <c r="F75">
        <f>ChugachRAW!G75</f>
        <v>12</v>
      </c>
    </row>
    <row r="76" spans="1:21" x14ac:dyDescent="0.2">
      <c r="A76" t="s">
        <v>330</v>
      </c>
      <c r="B76">
        <f>ChugachRAW!A76</f>
        <v>2015</v>
      </c>
      <c r="C76" t="str">
        <f>ChugachRAW!C76</f>
        <v>Sport</v>
      </c>
      <c r="D76" t="str">
        <f>ChugachRAW!D76</f>
        <v>Pink</v>
      </c>
      <c r="E76">
        <f>ChugachRAW!F76</f>
        <v>1773</v>
      </c>
      <c r="F76">
        <f>ChugachRAW!G76</f>
        <v>1773</v>
      </c>
    </row>
    <row r="77" spans="1:21" x14ac:dyDescent="0.2">
      <c r="A77" t="s">
        <v>330</v>
      </c>
      <c r="B77">
        <f>ChugachRAW!A77</f>
        <v>2016</v>
      </c>
      <c r="C77" t="str">
        <f>ChugachRAW!C77</f>
        <v>Sport</v>
      </c>
      <c r="D77" t="str">
        <f>ChugachRAW!D77</f>
        <v>Pink</v>
      </c>
      <c r="E77">
        <f>ChugachRAW!F77</f>
        <v>0</v>
      </c>
      <c r="F77">
        <f>ChugachRAW!G77</f>
        <v>0</v>
      </c>
    </row>
    <row r="78" spans="1:21" x14ac:dyDescent="0.2">
      <c r="A78" t="s">
        <v>330</v>
      </c>
      <c r="B78">
        <f>ChugachRAW!A78</f>
        <v>2017</v>
      </c>
      <c r="C78" t="str">
        <f>ChugachRAW!C78</f>
        <v>Sport</v>
      </c>
      <c r="D78" t="str">
        <f>ChugachRAW!D78</f>
        <v>Pink</v>
      </c>
      <c r="E78">
        <f>ChugachRAW!F78</f>
        <v>227</v>
      </c>
      <c r="F78">
        <f>ChugachRAW!G78</f>
        <v>227</v>
      </c>
    </row>
    <row r="79" spans="1:21" x14ac:dyDescent="0.2">
      <c r="A79" t="s">
        <v>330</v>
      </c>
      <c r="B79">
        <f>ChugachRAW!A79</f>
        <v>2018</v>
      </c>
      <c r="C79" t="str">
        <f>ChugachRAW!C79</f>
        <v>Sport</v>
      </c>
      <c r="D79" t="str">
        <f>ChugachRAW!D79</f>
        <v>Pink</v>
      </c>
      <c r="E79">
        <f>ChugachRAW!F79</f>
        <v>0</v>
      </c>
      <c r="F79">
        <f>ChugachRAW!G79</f>
        <v>0</v>
      </c>
    </row>
    <row r="80" spans="1:21" x14ac:dyDescent="0.2">
      <c r="A80" t="s">
        <v>330</v>
      </c>
      <c r="B80">
        <f>ChugachRAW!A80</f>
        <v>2019</v>
      </c>
      <c r="C80" t="str">
        <f>ChugachRAW!C80</f>
        <v>Sport</v>
      </c>
      <c r="D80" t="str">
        <f>ChugachRAW!D80</f>
        <v>Pink</v>
      </c>
      <c r="E80">
        <f>ChugachRAW!F80</f>
        <v>153</v>
      </c>
      <c r="F80">
        <f>ChugachRAW!G80</f>
        <v>153</v>
      </c>
    </row>
    <row r="81" spans="1:6" x14ac:dyDescent="0.2">
      <c r="A81" t="s">
        <v>330</v>
      </c>
      <c r="B81">
        <f>ChugachRAW!A81</f>
        <v>2020</v>
      </c>
      <c r="C81" t="str">
        <f>ChugachRAW!C81</f>
        <v>Sport</v>
      </c>
      <c r="D81" t="str">
        <f>ChugachRAW!D81</f>
        <v>Pink</v>
      </c>
      <c r="E81">
        <f>ChugachRAW!F81</f>
        <v>105</v>
      </c>
      <c r="F81">
        <f>ChugachRAW!G81</f>
        <v>105</v>
      </c>
    </row>
    <row r="82" spans="1:6" x14ac:dyDescent="0.2">
      <c r="A82" t="s">
        <v>330</v>
      </c>
      <c r="B82">
        <f>ChugachRAW!A82</f>
        <v>2011</v>
      </c>
      <c r="C82" t="str">
        <f>ChugachRAW!C82</f>
        <v>Sport</v>
      </c>
      <c r="D82" t="str">
        <f>ChugachRAW!D82</f>
        <v>Chum</v>
      </c>
      <c r="E82">
        <f>ChugachRAW!F82</f>
        <v>0</v>
      </c>
      <c r="F82">
        <f>ChugachRAW!G82</f>
        <v>0</v>
      </c>
    </row>
    <row r="83" spans="1:6" x14ac:dyDescent="0.2">
      <c r="A83" t="s">
        <v>330</v>
      </c>
      <c r="B83">
        <f>ChugachRAW!A83</f>
        <v>2012</v>
      </c>
      <c r="C83" t="str">
        <f>ChugachRAW!C83</f>
        <v>Sport</v>
      </c>
      <c r="D83" t="str">
        <f>ChugachRAW!D83</f>
        <v>Chum</v>
      </c>
      <c r="E83">
        <f>ChugachRAW!F83</f>
        <v>0</v>
      </c>
      <c r="F83">
        <f>ChugachRAW!G83</f>
        <v>0</v>
      </c>
    </row>
    <row r="84" spans="1:6" x14ac:dyDescent="0.2">
      <c r="A84" t="s">
        <v>330</v>
      </c>
      <c r="B84">
        <f>ChugachRAW!A84</f>
        <v>2013</v>
      </c>
      <c r="C84" t="str">
        <f>ChugachRAW!C84</f>
        <v>Sport</v>
      </c>
      <c r="D84" t="str">
        <f>ChugachRAW!D84</f>
        <v>Chum</v>
      </c>
      <c r="E84">
        <f>ChugachRAW!F84</f>
        <v>0</v>
      </c>
      <c r="F84">
        <f>ChugachRAW!G84</f>
        <v>0</v>
      </c>
    </row>
    <row r="85" spans="1:6" x14ac:dyDescent="0.2">
      <c r="A85" t="s">
        <v>330</v>
      </c>
      <c r="B85">
        <f>ChugachRAW!A85</f>
        <v>2014</v>
      </c>
      <c r="C85" t="str">
        <f>ChugachRAW!C85</f>
        <v>Sport</v>
      </c>
      <c r="D85" t="str">
        <f>ChugachRAW!D85</f>
        <v>Chum</v>
      </c>
      <c r="E85">
        <f>ChugachRAW!F85</f>
        <v>0</v>
      </c>
      <c r="F85">
        <f>ChugachRAW!G85</f>
        <v>0</v>
      </c>
    </row>
    <row r="86" spans="1:6" x14ac:dyDescent="0.2">
      <c r="A86" t="s">
        <v>330</v>
      </c>
      <c r="B86">
        <f>ChugachRAW!A86</f>
        <v>2015</v>
      </c>
      <c r="C86" t="str">
        <f>ChugachRAW!C86</f>
        <v>Sport</v>
      </c>
      <c r="D86" t="str">
        <f>ChugachRAW!D86</f>
        <v>Chum</v>
      </c>
      <c r="E86">
        <f>ChugachRAW!F86</f>
        <v>0</v>
      </c>
      <c r="F86">
        <f>ChugachRAW!G86</f>
        <v>0</v>
      </c>
    </row>
    <row r="87" spans="1:6" x14ac:dyDescent="0.2">
      <c r="A87" t="s">
        <v>330</v>
      </c>
      <c r="B87">
        <f>ChugachRAW!A87</f>
        <v>2016</v>
      </c>
      <c r="C87" t="str">
        <f>ChugachRAW!C87</f>
        <v>Sport</v>
      </c>
      <c r="D87" t="str">
        <f>ChugachRAW!D87</f>
        <v>Chum</v>
      </c>
      <c r="E87">
        <f>ChugachRAW!F87</f>
        <v>0</v>
      </c>
      <c r="F87">
        <f>ChugachRAW!G87</f>
        <v>0</v>
      </c>
    </row>
    <row r="88" spans="1:6" x14ac:dyDescent="0.2">
      <c r="A88" t="s">
        <v>330</v>
      </c>
      <c r="B88">
        <f>ChugachRAW!A88</f>
        <v>2017</v>
      </c>
      <c r="C88" t="str">
        <f>ChugachRAW!C88</f>
        <v>Sport</v>
      </c>
      <c r="D88" t="str">
        <f>ChugachRAW!D88</f>
        <v>Chum</v>
      </c>
      <c r="E88">
        <f>ChugachRAW!F88</f>
        <v>0</v>
      </c>
      <c r="F88">
        <f>ChugachRAW!G88</f>
        <v>0</v>
      </c>
    </row>
    <row r="89" spans="1:6" x14ac:dyDescent="0.2">
      <c r="A89" t="s">
        <v>330</v>
      </c>
      <c r="B89">
        <f>ChugachRAW!A89</f>
        <v>2018</v>
      </c>
      <c r="C89" t="str">
        <f>ChugachRAW!C89</f>
        <v>Sport</v>
      </c>
      <c r="D89" t="str">
        <f>ChugachRAW!D89</f>
        <v>Chum</v>
      </c>
      <c r="E89">
        <f>ChugachRAW!F89</f>
        <v>0</v>
      </c>
      <c r="F89">
        <f>ChugachRAW!G89</f>
        <v>0</v>
      </c>
    </row>
    <row r="90" spans="1:6" x14ac:dyDescent="0.2">
      <c r="A90" t="s">
        <v>330</v>
      </c>
      <c r="B90">
        <f>ChugachRAW!A90</f>
        <v>2019</v>
      </c>
      <c r="C90" t="str">
        <f>ChugachRAW!C90</f>
        <v>Sport</v>
      </c>
      <c r="D90" t="str">
        <f>ChugachRAW!D90</f>
        <v>Chum</v>
      </c>
      <c r="E90">
        <f>ChugachRAW!F90</f>
        <v>0</v>
      </c>
      <c r="F90">
        <f>ChugachRAW!G90</f>
        <v>0</v>
      </c>
    </row>
    <row r="91" spans="1:6" x14ac:dyDescent="0.2">
      <c r="A91" t="s">
        <v>330</v>
      </c>
      <c r="B91">
        <f>ChugachRAW!A91</f>
        <v>2020</v>
      </c>
      <c r="C91" t="str">
        <f>ChugachRAW!C91</f>
        <v>Sport</v>
      </c>
      <c r="D91" t="str">
        <f>ChugachRAW!D91</f>
        <v>Chum</v>
      </c>
      <c r="E91">
        <f>ChugachRAW!F91</f>
        <v>0</v>
      </c>
      <c r="F91">
        <f>ChugachRAW!G91</f>
        <v>0</v>
      </c>
    </row>
    <row r="92" spans="1:6" x14ac:dyDescent="0.2">
      <c r="A92" t="s">
        <v>330</v>
      </c>
      <c r="B92">
        <f>ChugachRAW!A92</f>
        <v>2011</v>
      </c>
      <c r="C92" t="str">
        <f>ChugachRAW!C92</f>
        <v>Sport</v>
      </c>
      <c r="D92" t="str">
        <f>ChugachRAW!D92</f>
        <v>Chinook</v>
      </c>
      <c r="E92">
        <f>ChugachRAW!F92</f>
        <v>0</v>
      </c>
      <c r="F92">
        <f>ChugachRAW!G92</f>
        <v>0</v>
      </c>
    </row>
    <row r="93" spans="1:6" x14ac:dyDescent="0.2">
      <c r="A93" t="s">
        <v>330</v>
      </c>
      <c r="B93">
        <f>ChugachRAW!A93</f>
        <v>2012</v>
      </c>
      <c r="C93" t="str">
        <f>ChugachRAW!C93</f>
        <v>Sport</v>
      </c>
      <c r="D93" t="str">
        <f>ChugachRAW!D93</f>
        <v>Chinook</v>
      </c>
      <c r="E93">
        <f>ChugachRAW!F93</f>
        <v>0</v>
      </c>
      <c r="F93">
        <f>ChugachRAW!G93</f>
        <v>0</v>
      </c>
    </row>
    <row r="94" spans="1:6" x14ac:dyDescent="0.2">
      <c r="A94" t="s">
        <v>330</v>
      </c>
      <c r="B94">
        <f>ChugachRAW!A94</f>
        <v>2013</v>
      </c>
      <c r="C94" t="str">
        <f>ChugachRAW!C94</f>
        <v>Sport</v>
      </c>
      <c r="D94" t="str">
        <f>ChugachRAW!D94</f>
        <v>Chinook</v>
      </c>
      <c r="E94">
        <f>ChugachRAW!F94</f>
        <v>0</v>
      </c>
      <c r="F94">
        <f>ChugachRAW!G94</f>
        <v>0</v>
      </c>
    </row>
    <row r="95" spans="1:6" x14ac:dyDescent="0.2">
      <c r="A95" t="s">
        <v>330</v>
      </c>
      <c r="B95">
        <f>ChugachRAW!A95</f>
        <v>2014</v>
      </c>
      <c r="C95" t="str">
        <f>ChugachRAW!C95</f>
        <v>Sport</v>
      </c>
      <c r="D95" t="str">
        <f>ChugachRAW!D95</f>
        <v>Chinook</v>
      </c>
      <c r="E95">
        <f>ChugachRAW!F95</f>
        <v>0</v>
      </c>
      <c r="F95">
        <f>ChugachRAW!G95</f>
        <v>0</v>
      </c>
    </row>
    <row r="96" spans="1:6" x14ac:dyDescent="0.2">
      <c r="A96" t="s">
        <v>330</v>
      </c>
      <c r="B96">
        <f>ChugachRAW!A96</f>
        <v>2015</v>
      </c>
      <c r="C96" t="str">
        <f>ChugachRAW!C96</f>
        <v>Sport</v>
      </c>
      <c r="D96" t="str">
        <f>ChugachRAW!D96</f>
        <v>Chinook</v>
      </c>
      <c r="E96">
        <f>ChugachRAW!F96</f>
        <v>0</v>
      </c>
      <c r="F96">
        <f>ChugachRAW!G96</f>
        <v>0</v>
      </c>
    </row>
    <row r="97" spans="1:6" x14ac:dyDescent="0.2">
      <c r="A97" t="s">
        <v>330</v>
      </c>
      <c r="B97">
        <f>ChugachRAW!A97</f>
        <v>2016</v>
      </c>
      <c r="C97" t="str">
        <f>ChugachRAW!C97</f>
        <v>Sport</v>
      </c>
      <c r="D97" t="str">
        <f>ChugachRAW!D97</f>
        <v>Chinook</v>
      </c>
      <c r="E97">
        <f>ChugachRAW!F97</f>
        <v>0</v>
      </c>
      <c r="F97">
        <f>ChugachRAW!G97</f>
        <v>0</v>
      </c>
    </row>
    <row r="98" spans="1:6" x14ac:dyDescent="0.2">
      <c r="A98" t="s">
        <v>330</v>
      </c>
      <c r="B98">
        <f>ChugachRAW!A98</f>
        <v>2017</v>
      </c>
      <c r="C98" t="str">
        <f>ChugachRAW!C98</f>
        <v>Sport</v>
      </c>
      <c r="D98" t="str">
        <f>ChugachRAW!D98</f>
        <v>Chinook</v>
      </c>
      <c r="E98">
        <f>ChugachRAW!F98</f>
        <v>0</v>
      </c>
      <c r="F98">
        <f>ChugachRAW!G98</f>
        <v>0</v>
      </c>
    </row>
    <row r="99" spans="1:6" x14ac:dyDescent="0.2">
      <c r="A99" t="s">
        <v>330</v>
      </c>
      <c r="B99">
        <f>ChugachRAW!A99</f>
        <v>2018</v>
      </c>
      <c r="C99" t="str">
        <f>ChugachRAW!C99</f>
        <v>Sport</v>
      </c>
      <c r="D99" t="str">
        <f>ChugachRAW!D99</f>
        <v>Chinook</v>
      </c>
      <c r="E99">
        <f>ChugachRAW!F99</f>
        <v>0</v>
      </c>
      <c r="F99">
        <f>ChugachRAW!G99</f>
        <v>0</v>
      </c>
    </row>
    <row r="100" spans="1:6" x14ac:dyDescent="0.2">
      <c r="A100" t="s">
        <v>330</v>
      </c>
      <c r="B100">
        <f>ChugachRAW!A100</f>
        <v>2019</v>
      </c>
      <c r="C100" t="str">
        <f>ChugachRAW!C100</f>
        <v>Sport</v>
      </c>
      <c r="D100" t="str">
        <f>ChugachRAW!D100</f>
        <v>Chinook</v>
      </c>
      <c r="E100">
        <f>ChugachRAW!F100</f>
        <v>0</v>
      </c>
      <c r="F100">
        <f>ChugachRAW!G100</f>
        <v>0</v>
      </c>
    </row>
    <row r="101" spans="1:6" x14ac:dyDescent="0.2">
      <c r="A101" t="s">
        <v>330</v>
      </c>
      <c r="B101">
        <f>ChugachRAW!A101</f>
        <v>2020</v>
      </c>
      <c r="C101" t="str">
        <f>ChugachRAW!C101</f>
        <v>Sport</v>
      </c>
      <c r="D101" t="str">
        <f>ChugachRAW!D101</f>
        <v>Chinook</v>
      </c>
      <c r="E101">
        <f>ChugachRAW!F101</f>
        <v>0</v>
      </c>
      <c r="F101">
        <f>ChugachRAW!G101</f>
        <v>0</v>
      </c>
    </row>
    <row r="102" spans="1:6" x14ac:dyDescent="0.2">
      <c r="A102" t="s">
        <v>330</v>
      </c>
      <c r="B102">
        <f>ChugachRAW!A102</f>
        <v>2011</v>
      </c>
      <c r="C102" t="str">
        <f>ChugachRAW!C102</f>
        <v>Sport</v>
      </c>
      <c r="D102" t="str">
        <f>ChugachRAW!D102</f>
        <v>Sockeye</v>
      </c>
      <c r="E102">
        <f>ChugachRAW!F102</f>
        <v>0</v>
      </c>
      <c r="F102">
        <f>ChugachRAW!G102</f>
        <v>0</v>
      </c>
    </row>
    <row r="103" spans="1:6" x14ac:dyDescent="0.2">
      <c r="A103" t="s">
        <v>330</v>
      </c>
      <c r="B103">
        <f>ChugachRAW!A103</f>
        <v>2012</v>
      </c>
      <c r="C103" t="str">
        <f>ChugachRAW!C103</f>
        <v>Sport</v>
      </c>
      <c r="D103" t="str">
        <f>ChugachRAW!D103</f>
        <v>Sockeye</v>
      </c>
      <c r="E103">
        <f>ChugachRAW!F103</f>
        <v>33</v>
      </c>
      <c r="F103">
        <f>ChugachRAW!G103</f>
        <v>33</v>
      </c>
    </row>
    <row r="104" spans="1:6" x14ac:dyDescent="0.2">
      <c r="A104" t="s">
        <v>330</v>
      </c>
      <c r="B104">
        <f>ChugachRAW!A104</f>
        <v>2013</v>
      </c>
      <c r="C104" t="str">
        <f>ChugachRAW!C104</f>
        <v>Sport</v>
      </c>
      <c r="D104" t="str">
        <f>ChugachRAW!D104</f>
        <v>Sockeye</v>
      </c>
      <c r="E104">
        <f>ChugachRAW!F104</f>
        <v>0</v>
      </c>
      <c r="F104">
        <f>ChugachRAW!G104</f>
        <v>0</v>
      </c>
    </row>
    <row r="105" spans="1:6" x14ac:dyDescent="0.2">
      <c r="A105" t="s">
        <v>330</v>
      </c>
      <c r="B105">
        <f>ChugachRAW!A105</f>
        <v>2014</v>
      </c>
      <c r="C105" t="str">
        <f>ChugachRAW!C105</f>
        <v>Sport</v>
      </c>
      <c r="D105" t="str">
        <f>ChugachRAW!D105</f>
        <v>Sockeye</v>
      </c>
      <c r="E105">
        <f>ChugachRAW!F105</f>
        <v>0</v>
      </c>
      <c r="F105">
        <f>ChugachRAW!G105</f>
        <v>0</v>
      </c>
    </row>
    <row r="106" spans="1:6" x14ac:dyDescent="0.2">
      <c r="A106" t="s">
        <v>330</v>
      </c>
      <c r="B106">
        <f>ChugachRAW!A106</f>
        <v>2015</v>
      </c>
      <c r="C106" t="str">
        <f>ChugachRAW!C106</f>
        <v>Sport</v>
      </c>
      <c r="D106" t="str">
        <f>ChugachRAW!D106</f>
        <v>Sockeye</v>
      </c>
      <c r="E106">
        <f>ChugachRAW!F106</f>
        <v>83</v>
      </c>
      <c r="F106">
        <f>ChugachRAW!G106</f>
        <v>83</v>
      </c>
    </row>
    <row r="107" spans="1:6" x14ac:dyDescent="0.2">
      <c r="A107" t="s">
        <v>330</v>
      </c>
      <c r="B107">
        <f>ChugachRAW!A107</f>
        <v>2016</v>
      </c>
      <c r="C107" t="str">
        <f>ChugachRAW!C107</f>
        <v>Sport</v>
      </c>
      <c r="D107" t="str">
        <f>ChugachRAW!D107</f>
        <v>Sockeye</v>
      </c>
      <c r="E107">
        <f>ChugachRAW!F107</f>
        <v>0</v>
      </c>
      <c r="F107">
        <f>ChugachRAW!G107</f>
        <v>0</v>
      </c>
    </row>
    <row r="108" spans="1:6" x14ac:dyDescent="0.2">
      <c r="A108" t="s">
        <v>330</v>
      </c>
      <c r="B108">
        <f>ChugachRAW!A108</f>
        <v>2017</v>
      </c>
      <c r="C108" t="str">
        <f>ChugachRAW!C108</f>
        <v>Sport</v>
      </c>
      <c r="D108" t="str">
        <f>ChugachRAW!D108</f>
        <v>Sockeye</v>
      </c>
      <c r="E108">
        <f>ChugachRAW!F108</f>
        <v>0</v>
      </c>
      <c r="F108">
        <f>ChugachRAW!G108</f>
        <v>0</v>
      </c>
    </row>
    <row r="109" spans="1:6" x14ac:dyDescent="0.2">
      <c r="A109" t="s">
        <v>330</v>
      </c>
      <c r="B109">
        <f>ChugachRAW!A109</f>
        <v>2018</v>
      </c>
      <c r="C109" t="str">
        <f>ChugachRAW!C109</f>
        <v>Sport</v>
      </c>
      <c r="D109" t="str">
        <f>ChugachRAW!D109</f>
        <v>Sockeye</v>
      </c>
      <c r="E109">
        <f>ChugachRAW!F109</f>
        <v>20</v>
      </c>
      <c r="F109">
        <f>ChugachRAW!G109</f>
        <v>20</v>
      </c>
    </row>
    <row r="110" spans="1:6" x14ac:dyDescent="0.2">
      <c r="A110" t="s">
        <v>330</v>
      </c>
      <c r="B110">
        <f>ChugachRAW!A110</f>
        <v>2019</v>
      </c>
      <c r="C110" t="str">
        <f>ChugachRAW!C110</f>
        <v>Sport</v>
      </c>
      <c r="D110" t="str">
        <f>ChugachRAW!D110</f>
        <v>Sockeye</v>
      </c>
      <c r="E110">
        <f>ChugachRAW!F110</f>
        <v>0</v>
      </c>
      <c r="F110">
        <f>ChugachRAW!G110</f>
        <v>0</v>
      </c>
    </row>
    <row r="111" spans="1:6" x14ac:dyDescent="0.2">
      <c r="A111" t="s">
        <v>330</v>
      </c>
      <c r="B111">
        <f>ChugachRAW!A111</f>
        <v>2020</v>
      </c>
      <c r="C111" t="str">
        <f>ChugachRAW!C111</f>
        <v>Sport</v>
      </c>
      <c r="D111" t="str">
        <f>ChugachRAW!D111</f>
        <v>Sockeye</v>
      </c>
      <c r="E111">
        <f>ChugachRAW!F111</f>
        <v>0</v>
      </c>
      <c r="F111">
        <f>ChugachRAW!G111</f>
        <v>0</v>
      </c>
    </row>
    <row r="112" spans="1:6" x14ac:dyDescent="0.2">
      <c r="A112" t="s">
        <v>330</v>
      </c>
      <c r="B112">
        <f>ChugachRAW!A112</f>
        <v>2011</v>
      </c>
      <c r="C112" t="str">
        <f>ChugachRAW!C112</f>
        <v>Sport</v>
      </c>
      <c r="D112" t="str">
        <f>ChugachRAW!D112</f>
        <v>Coho</v>
      </c>
      <c r="E112">
        <f>ChugachRAW!F112</f>
        <v>1087</v>
      </c>
      <c r="F112">
        <f>ChugachRAW!G112</f>
        <v>1087</v>
      </c>
    </row>
    <row r="113" spans="1:6" x14ac:dyDescent="0.2">
      <c r="A113" t="s">
        <v>330</v>
      </c>
      <c r="B113">
        <f>ChugachRAW!A113</f>
        <v>2012</v>
      </c>
      <c r="C113" t="str">
        <f>ChugachRAW!C113</f>
        <v>Sport</v>
      </c>
      <c r="D113" t="str">
        <f>ChugachRAW!D113</f>
        <v>Coho</v>
      </c>
      <c r="E113">
        <f>ChugachRAW!F113</f>
        <v>639</v>
      </c>
      <c r="F113">
        <f>ChugachRAW!G113</f>
        <v>639</v>
      </c>
    </row>
    <row r="114" spans="1:6" x14ac:dyDescent="0.2">
      <c r="A114" t="s">
        <v>330</v>
      </c>
      <c r="B114">
        <f>ChugachRAW!A114</f>
        <v>2013</v>
      </c>
      <c r="C114" t="str">
        <f>ChugachRAW!C114</f>
        <v>Sport</v>
      </c>
      <c r="D114" t="str">
        <f>ChugachRAW!D114</f>
        <v>Coho</v>
      </c>
      <c r="E114">
        <f>ChugachRAW!F114</f>
        <v>895</v>
      </c>
      <c r="F114">
        <f>ChugachRAW!G114</f>
        <v>895</v>
      </c>
    </row>
    <row r="115" spans="1:6" x14ac:dyDescent="0.2">
      <c r="A115" t="s">
        <v>330</v>
      </c>
      <c r="B115">
        <f>ChugachRAW!A115</f>
        <v>2014</v>
      </c>
      <c r="C115" t="str">
        <f>ChugachRAW!C115</f>
        <v>Sport</v>
      </c>
      <c r="D115" t="str">
        <f>ChugachRAW!D115</f>
        <v>Coho</v>
      </c>
      <c r="E115">
        <f>ChugachRAW!F115</f>
        <v>784</v>
      </c>
      <c r="F115">
        <f>ChugachRAW!G115</f>
        <v>784</v>
      </c>
    </row>
    <row r="116" spans="1:6" x14ac:dyDescent="0.2">
      <c r="A116" t="s">
        <v>330</v>
      </c>
      <c r="B116">
        <f>ChugachRAW!A116</f>
        <v>2015</v>
      </c>
      <c r="C116" t="str">
        <f>ChugachRAW!C116</f>
        <v>Sport</v>
      </c>
      <c r="D116" t="str">
        <f>ChugachRAW!D116</f>
        <v>Coho</v>
      </c>
      <c r="E116">
        <f>ChugachRAW!F116</f>
        <v>503</v>
      </c>
      <c r="F116">
        <f>ChugachRAW!G116</f>
        <v>503</v>
      </c>
    </row>
    <row r="117" spans="1:6" x14ac:dyDescent="0.2">
      <c r="A117" t="s">
        <v>330</v>
      </c>
      <c r="B117">
        <f>ChugachRAW!A117</f>
        <v>2016</v>
      </c>
      <c r="C117" t="str">
        <f>ChugachRAW!C117</f>
        <v>Sport</v>
      </c>
      <c r="D117" t="str">
        <f>ChugachRAW!D117</f>
        <v>Coho</v>
      </c>
      <c r="E117">
        <f>ChugachRAW!F117</f>
        <v>1181</v>
      </c>
      <c r="F117">
        <f>ChugachRAW!G117</f>
        <v>1181</v>
      </c>
    </row>
    <row r="118" spans="1:6" x14ac:dyDescent="0.2">
      <c r="A118" t="s">
        <v>330</v>
      </c>
      <c r="B118">
        <f>ChugachRAW!A118</f>
        <v>2017</v>
      </c>
      <c r="C118" t="str">
        <f>ChugachRAW!C118</f>
        <v>Sport</v>
      </c>
      <c r="D118" t="str">
        <f>ChugachRAW!D118</f>
        <v>Coho</v>
      </c>
      <c r="E118">
        <f>ChugachRAW!F118</f>
        <v>1249</v>
      </c>
      <c r="F118">
        <f>ChugachRAW!G118</f>
        <v>1249</v>
      </c>
    </row>
    <row r="119" spans="1:6" x14ac:dyDescent="0.2">
      <c r="A119" t="s">
        <v>330</v>
      </c>
      <c r="B119">
        <f>ChugachRAW!A119</f>
        <v>2018</v>
      </c>
      <c r="C119" t="str">
        <f>ChugachRAW!C119</f>
        <v>Sport</v>
      </c>
      <c r="D119" t="str">
        <f>ChugachRAW!D119</f>
        <v>Coho</v>
      </c>
      <c r="E119">
        <f>ChugachRAW!F119</f>
        <v>2474</v>
      </c>
      <c r="F119">
        <f>ChugachRAW!G119</f>
        <v>2474</v>
      </c>
    </row>
    <row r="120" spans="1:6" x14ac:dyDescent="0.2">
      <c r="A120" t="s">
        <v>330</v>
      </c>
      <c r="B120">
        <f>ChugachRAW!A120</f>
        <v>2019</v>
      </c>
      <c r="C120" t="str">
        <f>ChugachRAW!C120</f>
        <v>Sport</v>
      </c>
      <c r="D120" t="str">
        <f>ChugachRAW!D120</f>
        <v>Coho</v>
      </c>
      <c r="E120">
        <f>ChugachRAW!F120</f>
        <v>2393</v>
      </c>
      <c r="F120">
        <f>ChugachRAW!G120</f>
        <v>2393</v>
      </c>
    </row>
    <row r="121" spans="1:6" x14ac:dyDescent="0.2">
      <c r="A121" t="s">
        <v>330</v>
      </c>
      <c r="B121">
        <f>ChugachRAW!A121</f>
        <v>2020</v>
      </c>
      <c r="C121" t="str">
        <f>ChugachRAW!C121</f>
        <v>Sport</v>
      </c>
      <c r="D121" t="str">
        <f>ChugachRAW!D121</f>
        <v>Coho</v>
      </c>
      <c r="E121">
        <f>ChugachRAW!F121</f>
        <v>1991</v>
      </c>
      <c r="F121">
        <f>ChugachRAW!G121</f>
        <v>1991</v>
      </c>
    </row>
    <row r="122" spans="1:6" x14ac:dyDescent="0.2">
      <c r="A122" t="s">
        <v>330</v>
      </c>
      <c r="B122">
        <f>ChugachRAW!A122</f>
        <v>2011</v>
      </c>
      <c r="C122" t="str">
        <f>ChugachRAW!C122</f>
        <v>Sport</v>
      </c>
      <c r="D122" t="str">
        <f>ChugachRAW!D122</f>
        <v>Pink</v>
      </c>
      <c r="E122">
        <f>ChugachRAW!F122</f>
        <v>56</v>
      </c>
      <c r="F122">
        <f>ChugachRAW!G122</f>
        <v>56</v>
      </c>
    </row>
    <row r="123" spans="1:6" x14ac:dyDescent="0.2">
      <c r="A123" t="s">
        <v>330</v>
      </c>
      <c r="B123">
        <f>ChugachRAW!A123</f>
        <v>2012</v>
      </c>
      <c r="C123" t="str">
        <f>ChugachRAW!C123</f>
        <v>Sport</v>
      </c>
      <c r="D123" t="str">
        <f>ChugachRAW!D123</f>
        <v>Pink</v>
      </c>
      <c r="E123">
        <f>ChugachRAW!F123</f>
        <v>134</v>
      </c>
      <c r="F123">
        <f>ChugachRAW!G123</f>
        <v>134</v>
      </c>
    </row>
    <row r="124" spans="1:6" x14ac:dyDescent="0.2">
      <c r="A124" t="s">
        <v>330</v>
      </c>
      <c r="B124">
        <f>ChugachRAW!A124</f>
        <v>2013</v>
      </c>
      <c r="C124" t="str">
        <f>ChugachRAW!C124</f>
        <v>Sport</v>
      </c>
      <c r="D124" t="str">
        <f>ChugachRAW!D124</f>
        <v>Pink</v>
      </c>
      <c r="E124">
        <f>ChugachRAW!F124</f>
        <v>0</v>
      </c>
      <c r="F124">
        <f>ChugachRAW!G124</f>
        <v>0</v>
      </c>
    </row>
    <row r="125" spans="1:6" x14ac:dyDescent="0.2">
      <c r="A125" t="s">
        <v>330</v>
      </c>
      <c r="B125">
        <f>ChugachRAW!A125</f>
        <v>2014</v>
      </c>
      <c r="C125" t="str">
        <f>ChugachRAW!C125</f>
        <v>Sport</v>
      </c>
      <c r="D125" t="str">
        <f>ChugachRAW!D125</f>
        <v>Pink</v>
      </c>
      <c r="E125">
        <f>ChugachRAW!F125</f>
        <v>0</v>
      </c>
      <c r="F125">
        <f>ChugachRAW!G125</f>
        <v>0</v>
      </c>
    </row>
    <row r="126" spans="1:6" x14ac:dyDescent="0.2">
      <c r="A126" t="s">
        <v>330</v>
      </c>
      <c r="B126">
        <f>ChugachRAW!A126</f>
        <v>2015</v>
      </c>
      <c r="C126" t="str">
        <f>ChugachRAW!C126</f>
        <v>Sport</v>
      </c>
      <c r="D126" t="str">
        <f>ChugachRAW!D126</f>
        <v>Pink</v>
      </c>
      <c r="E126">
        <f>ChugachRAW!F126</f>
        <v>0</v>
      </c>
      <c r="F126">
        <f>ChugachRAW!G126</f>
        <v>0</v>
      </c>
    </row>
    <row r="127" spans="1:6" x14ac:dyDescent="0.2">
      <c r="A127" t="s">
        <v>330</v>
      </c>
      <c r="B127">
        <f>ChugachRAW!A127</f>
        <v>2016</v>
      </c>
      <c r="C127" t="str">
        <f>ChugachRAW!C127</f>
        <v>Sport</v>
      </c>
      <c r="D127" t="str">
        <f>ChugachRAW!D127</f>
        <v>Pink</v>
      </c>
      <c r="E127">
        <f>ChugachRAW!F127</f>
        <v>0</v>
      </c>
      <c r="F127">
        <f>ChugachRAW!G127</f>
        <v>0</v>
      </c>
    </row>
    <row r="128" spans="1:6" x14ac:dyDescent="0.2">
      <c r="A128" t="s">
        <v>330</v>
      </c>
      <c r="B128">
        <f>ChugachRAW!A128</f>
        <v>2017</v>
      </c>
      <c r="C128" t="str">
        <f>ChugachRAW!C128</f>
        <v>Sport</v>
      </c>
      <c r="D128" t="str">
        <f>ChugachRAW!D128</f>
        <v>Pink</v>
      </c>
      <c r="E128">
        <f>ChugachRAW!F128</f>
        <v>19</v>
      </c>
      <c r="F128">
        <f>ChugachRAW!G128</f>
        <v>19</v>
      </c>
    </row>
    <row r="129" spans="1:6" x14ac:dyDescent="0.2">
      <c r="A129" t="s">
        <v>330</v>
      </c>
      <c r="B129">
        <f>ChugachRAW!A129</f>
        <v>2018</v>
      </c>
      <c r="C129" t="str">
        <f>ChugachRAW!C129</f>
        <v>Sport</v>
      </c>
      <c r="D129" t="str">
        <f>ChugachRAW!D129</f>
        <v>Pink</v>
      </c>
      <c r="E129">
        <f>ChugachRAW!F129</f>
        <v>31</v>
      </c>
      <c r="F129">
        <f>ChugachRAW!G129</f>
        <v>31</v>
      </c>
    </row>
    <row r="130" spans="1:6" x14ac:dyDescent="0.2">
      <c r="A130" t="s">
        <v>330</v>
      </c>
      <c r="B130">
        <f>ChugachRAW!A130</f>
        <v>2019</v>
      </c>
      <c r="C130" t="str">
        <f>ChugachRAW!C130</f>
        <v>Sport</v>
      </c>
      <c r="D130" t="str">
        <f>ChugachRAW!D130</f>
        <v>Pink</v>
      </c>
      <c r="E130">
        <f>ChugachRAW!F130</f>
        <v>0</v>
      </c>
      <c r="F130">
        <f>ChugachRAW!G130</f>
        <v>0</v>
      </c>
    </row>
    <row r="131" spans="1:6" x14ac:dyDescent="0.2">
      <c r="A131" t="s">
        <v>330</v>
      </c>
      <c r="B131">
        <f>ChugachRAW!A131</f>
        <v>2020</v>
      </c>
      <c r="C131" t="str">
        <f>ChugachRAW!C131</f>
        <v>Sport</v>
      </c>
      <c r="D131" t="str">
        <f>ChugachRAW!D131</f>
        <v>Pink</v>
      </c>
      <c r="E131">
        <f>ChugachRAW!F131</f>
        <v>9</v>
      </c>
      <c r="F131">
        <f>ChugachRAW!G131</f>
        <v>9</v>
      </c>
    </row>
    <row r="132" spans="1:6" x14ac:dyDescent="0.2">
      <c r="A132" t="s">
        <v>330</v>
      </c>
      <c r="B132">
        <f>ChugachRAW!A132</f>
        <v>2011</v>
      </c>
      <c r="C132" t="str">
        <f>ChugachRAW!C132</f>
        <v>Sport</v>
      </c>
      <c r="D132" t="str">
        <f>ChugachRAW!D132</f>
        <v>Chum</v>
      </c>
      <c r="E132">
        <f>ChugachRAW!F132</f>
        <v>0</v>
      </c>
      <c r="F132">
        <f>ChugachRAW!G132</f>
        <v>0</v>
      </c>
    </row>
    <row r="133" spans="1:6" x14ac:dyDescent="0.2">
      <c r="A133" t="s">
        <v>330</v>
      </c>
      <c r="B133">
        <f>ChugachRAW!A133</f>
        <v>2012</v>
      </c>
      <c r="C133" t="str">
        <f>ChugachRAW!C133</f>
        <v>Sport</v>
      </c>
      <c r="D133" t="str">
        <f>ChugachRAW!D133</f>
        <v>Chum</v>
      </c>
      <c r="E133">
        <f>ChugachRAW!F133</f>
        <v>0</v>
      </c>
      <c r="F133">
        <f>ChugachRAW!G133</f>
        <v>0</v>
      </c>
    </row>
    <row r="134" spans="1:6" x14ac:dyDescent="0.2">
      <c r="A134" t="s">
        <v>330</v>
      </c>
      <c r="B134">
        <f>ChugachRAW!A134</f>
        <v>2013</v>
      </c>
      <c r="C134" t="str">
        <f>ChugachRAW!C134</f>
        <v>Sport</v>
      </c>
      <c r="D134" t="str">
        <f>ChugachRAW!D134</f>
        <v>Chum</v>
      </c>
      <c r="E134">
        <f>ChugachRAW!F134</f>
        <v>0</v>
      </c>
      <c r="F134">
        <f>ChugachRAW!G134</f>
        <v>0</v>
      </c>
    </row>
    <row r="135" spans="1:6" x14ac:dyDescent="0.2">
      <c r="A135" t="s">
        <v>330</v>
      </c>
      <c r="B135">
        <f>ChugachRAW!A135</f>
        <v>2014</v>
      </c>
      <c r="C135" t="str">
        <f>ChugachRAW!C135</f>
        <v>Sport</v>
      </c>
      <c r="D135" t="str">
        <f>ChugachRAW!D135</f>
        <v>Chum</v>
      </c>
      <c r="E135">
        <f>ChugachRAW!F135</f>
        <v>0</v>
      </c>
      <c r="F135">
        <f>ChugachRAW!G135</f>
        <v>0</v>
      </c>
    </row>
    <row r="136" spans="1:6" x14ac:dyDescent="0.2">
      <c r="A136" t="s">
        <v>330</v>
      </c>
      <c r="B136">
        <f>ChugachRAW!A136</f>
        <v>2015</v>
      </c>
      <c r="C136" t="str">
        <f>ChugachRAW!C136</f>
        <v>Sport</v>
      </c>
      <c r="D136" t="str">
        <f>ChugachRAW!D136</f>
        <v>Chum</v>
      </c>
      <c r="E136">
        <f>ChugachRAW!F136</f>
        <v>0</v>
      </c>
      <c r="F136">
        <f>ChugachRAW!G136</f>
        <v>0</v>
      </c>
    </row>
    <row r="137" spans="1:6" x14ac:dyDescent="0.2">
      <c r="A137" t="s">
        <v>330</v>
      </c>
      <c r="B137">
        <f>ChugachRAW!A137</f>
        <v>2016</v>
      </c>
      <c r="C137" t="str">
        <f>ChugachRAW!C137</f>
        <v>Sport</v>
      </c>
      <c r="D137" t="str">
        <f>ChugachRAW!D137</f>
        <v>Chum</v>
      </c>
      <c r="E137">
        <f>ChugachRAW!F137</f>
        <v>0</v>
      </c>
      <c r="F137">
        <f>ChugachRAW!G137</f>
        <v>0</v>
      </c>
    </row>
    <row r="138" spans="1:6" x14ac:dyDescent="0.2">
      <c r="A138" t="s">
        <v>330</v>
      </c>
      <c r="B138">
        <f>ChugachRAW!A138</f>
        <v>2017</v>
      </c>
      <c r="C138" t="str">
        <f>ChugachRAW!C138</f>
        <v>Sport</v>
      </c>
      <c r="D138" t="str">
        <f>ChugachRAW!D138</f>
        <v>Chum</v>
      </c>
      <c r="E138">
        <f>ChugachRAW!F138</f>
        <v>18</v>
      </c>
      <c r="F138">
        <f>ChugachRAW!G138</f>
        <v>18</v>
      </c>
    </row>
    <row r="139" spans="1:6" x14ac:dyDescent="0.2">
      <c r="A139" t="s">
        <v>330</v>
      </c>
      <c r="B139">
        <f>ChugachRAW!A139</f>
        <v>2018</v>
      </c>
      <c r="C139" t="str">
        <f>ChugachRAW!C139</f>
        <v>Sport</v>
      </c>
      <c r="D139" t="str">
        <f>ChugachRAW!D139</f>
        <v>Chum</v>
      </c>
      <c r="E139">
        <f>ChugachRAW!F139</f>
        <v>0</v>
      </c>
      <c r="F139">
        <f>ChugachRAW!G139</f>
        <v>0</v>
      </c>
    </row>
    <row r="140" spans="1:6" x14ac:dyDescent="0.2">
      <c r="A140" t="s">
        <v>330</v>
      </c>
      <c r="B140">
        <f>ChugachRAW!A140</f>
        <v>2019</v>
      </c>
      <c r="C140" t="str">
        <f>ChugachRAW!C140</f>
        <v>Sport</v>
      </c>
      <c r="D140" t="str">
        <f>ChugachRAW!D140</f>
        <v>Chum</v>
      </c>
      <c r="E140">
        <f>ChugachRAW!F140</f>
        <v>44</v>
      </c>
      <c r="F140">
        <f>ChugachRAW!G140</f>
        <v>44</v>
      </c>
    </row>
    <row r="141" spans="1:6" x14ac:dyDescent="0.2">
      <c r="A141" t="s">
        <v>330</v>
      </c>
      <c r="B141">
        <f>ChugachRAW!A141</f>
        <v>2020</v>
      </c>
      <c r="C141" t="str">
        <f>ChugachRAW!C141</f>
        <v>Sport</v>
      </c>
      <c r="D141" t="str">
        <f>ChugachRAW!D141</f>
        <v>Chum</v>
      </c>
      <c r="E141">
        <f>ChugachRAW!F141</f>
        <v>0</v>
      </c>
      <c r="F141">
        <f>ChugachRAW!G141</f>
        <v>0</v>
      </c>
    </row>
    <row r="142" spans="1:6" x14ac:dyDescent="0.2">
      <c r="A142" t="s">
        <v>330</v>
      </c>
      <c r="B142">
        <f>ChugachRAW!A142</f>
        <v>2011</v>
      </c>
      <c r="C142" t="str">
        <f>ChugachRAW!C142</f>
        <v>Sport</v>
      </c>
      <c r="D142" t="str">
        <f>ChugachRAW!D142</f>
        <v>Chinook</v>
      </c>
      <c r="E142">
        <f>ChugachRAW!F142</f>
        <v>0</v>
      </c>
      <c r="F142">
        <f>ChugachRAW!G142</f>
        <v>0</v>
      </c>
    </row>
    <row r="143" spans="1:6" x14ac:dyDescent="0.2">
      <c r="A143" t="s">
        <v>330</v>
      </c>
      <c r="B143">
        <f>ChugachRAW!A143</f>
        <v>2012</v>
      </c>
      <c r="C143" t="str">
        <f>ChugachRAW!C143</f>
        <v>Sport</v>
      </c>
      <c r="D143" t="str">
        <f>ChugachRAW!D143</f>
        <v>Chinook</v>
      </c>
      <c r="E143">
        <f>ChugachRAW!F143</f>
        <v>0</v>
      </c>
      <c r="F143">
        <f>ChugachRAW!G143</f>
        <v>0</v>
      </c>
    </row>
    <row r="144" spans="1:6" x14ac:dyDescent="0.2">
      <c r="A144" t="s">
        <v>330</v>
      </c>
      <c r="B144">
        <f>ChugachRAW!A144</f>
        <v>2013</v>
      </c>
      <c r="C144" t="str">
        <f>ChugachRAW!C144</f>
        <v>Sport</v>
      </c>
      <c r="D144" t="str">
        <f>ChugachRAW!D144</f>
        <v>Chinook</v>
      </c>
      <c r="E144">
        <f>ChugachRAW!F144</f>
        <v>0</v>
      </c>
      <c r="F144">
        <f>ChugachRAW!G144</f>
        <v>0</v>
      </c>
    </row>
    <row r="145" spans="1:6" x14ac:dyDescent="0.2">
      <c r="A145" t="s">
        <v>330</v>
      </c>
      <c r="B145">
        <f>ChugachRAW!A145</f>
        <v>2014</v>
      </c>
      <c r="C145" t="str">
        <f>ChugachRAW!C145</f>
        <v>Sport</v>
      </c>
      <c r="D145" t="str">
        <f>ChugachRAW!D145</f>
        <v>Chinook</v>
      </c>
      <c r="E145">
        <f>ChugachRAW!F145</f>
        <v>0</v>
      </c>
      <c r="F145">
        <f>ChugachRAW!G145</f>
        <v>0</v>
      </c>
    </row>
    <row r="146" spans="1:6" x14ac:dyDescent="0.2">
      <c r="A146" t="s">
        <v>330</v>
      </c>
      <c r="B146">
        <f>ChugachRAW!A146</f>
        <v>2015</v>
      </c>
      <c r="C146" t="str">
        <f>ChugachRAW!C146</f>
        <v>Sport</v>
      </c>
      <c r="D146" t="str">
        <f>ChugachRAW!D146</f>
        <v>Chinook</v>
      </c>
      <c r="E146">
        <f>ChugachRAW!F146</f>
        <v>0</v>
      </c>
      <c r="F146">
        <f>ChugachRAW!G146</f>
        <v>0</v>
      </c>
    </row>
    <row r="147" spans="1:6" x14ac:dyDescent="0.2">
      <c r="A147" t="s">
        <v>330</v>
      </c>
      <c r="B147">
        <f>ChugachRAW!A147</f>
        <v>2016</v>
      </c>
      <c r="C147" t="str">
        <f>ChugachRAW!C147</f>
        <v>Sport</v>
      </c>
      <c r="D147" t="str">
        <f>ChugachRAW!D147</f>
        <v>Chinook</v>
      </c>
      <c r="E147">
        <f>ChugachRAW!F147</f>
        <v>0</v>
      </c>
      <c r="F147">
        <f>ChugachRAW!G147</f>
        <v>0</v>
      </c>
    </row>
    <row r="148" spans="1:6" x14ac:dyDescent="0.2">
      <c r="A148" t="s">
        <v>330</v>
      </c>
      <c r="B148">
        <f>ChugachRAW!A148</f>
        <v>2017</v>
      </c>
      <c r="C148" t="str">
        <f>ChugachRAW!C148</f>
        <v>Sport</v>
      </c>
      <c r="D148" t="str">
        <f>ChugachRAW!D148</f>
        <v>Chinook</v>
      </c>
      <c r="E148">
        <f>ChugachRAW!F148</f>
        <v>0</v>
      </c>
      <c r="F148">
        <f>ChugachRAW!G148</f>
        <v>0</v>
      </c>
    </row>
    <row r="149" spans="1:6" x14ac:dyDescent="0.2">
      <c r="A149" t="s">
        <v>330</v>
      </c>
      <c r="B149">
        <f>ChugachRAW!A149</f>
        <v>2018</v>
      </c>
      <c r="C149" t="str">
        <f>ChugachRAW!C149</f>
        <v>Sport</v>
      </c>
      <c r="D149" t="str">
        <f>ChugachRAW!D149</f>
        <v>Chinook</v>
      </c>
      <c r="E149">
        <f>ChugachRAW!F149</f>
        <v>0</v>
      </c>
      <c r="F149">
        <f>ChugachRAW!G149</f>
        <v>0</v>
      </c>
    </row>
    <row r="150" spans="1:6" x14ac:dyDescent="0.2">
      <c r="A150" t="s">
        <v>330</v>
      </c>
      <c r="B150">
        <f>ChugachRAW!A150</f>
        <v>2019</v>
      </c>
      <c r="C150" t="str">
        <f>ChugachRAW!C150</f>
        <v>Sport</v>
      </c>
      <c r="D150" t="str">
        <f>ChugachRAW!D150</f>
        <v>Chinook</v>
      </c>
      <c r="E150">
        <f>ChugachRAW!F150</f>
        <v>0</v>
      </c>
      <c r="F150">
        <f>ChugachRAW!G150</f>
        <v>0</v>
      </c>
    </row>
    <row r="151" spans="1:6" x14ac:dyDescent="0.2">
      <c r="A151" t="s">
        <v>330</v>
      </c>
      <c r="B151">
        <f>ChugachRAW!A151</f>
        <v>2020</v>
      </c>
      <c r="C151" t="str">
        <f>ChugachRAW!C151</f>
        <v>Sport</v>
      </c>
      <c r="D151" t="str">
        <f>ChugachRAW!D151</f>
        <v>Chinook</v>
      </c>
      <c r="E151">
        <f>ChugachRAW!F151</f>
        <v>0</v>
      </c>
      <c r="F151">
        <f>ChugachRAW!G151</f>
        <v>0</v>
      </c>
    </row>
    <row r="152" spans="1:6" x14ac:dyDescent="0.2">
      <c r="A152" t="s">
        <v>330</v>
      </c>
      <c r="B152">
        <f>ChugachRAW!A152</f>
        <v>2011</v>
      </c>
      <c r="C152" t="str">
        <f>ChugachRAW!C152</f>
        <v>Sport</v>
      </c>
      <c r="D152" t="str">
        <f>ChugachRAW!D152</f>
        <v>Sockeye</v>
      </c>
      <c r="E152">
        <f>ChugachRAW!F152</f>
        <v>239016.4</v>
      </c>
      <c r="F152">
        <f>ChugachRAW!G152</f>
        <v>432978</v>
      </c>
    </row>
    <row r="153" spans="1:6" x14ac:dyDescent="0.2">
      <c r="A153" t="s">
        <v>330</v>
      </c>
      <c r="B153">
        <f>ChugachRAW!A153</f>
        <v>2012</v>
      </c>
      <c r="C153" t="str">
        <f>ChugachRAW!C153</f>
        <v>Sport</v>
      </c>
      <c r="D153" t="str">
        <f>ChugachRAW!D153</f>
        <v>Sockeye</v>
      </c>
      <c r="E153">
        <f>ChugachRAW!F153</f>
        <v>262602.54000000004</v>
      </c>
      <c r="F153">
        <f>ChugachRAW!G153</f>
        <v>485775</v>
      </c>
    </row>
    <row r="154" spans="1:6" x14ac:dyDescent="0.2">
      <c r="A154" t="s">
        <v>330</v>
      </c>
      <c r="B154">
        <f>ChugachRAW!A154</f>
        <v>2013</v>
      </c>
      <c r="C154" t="str">
        <f>ChugachRAW!C154</f>
        <v>Sport</v>
      </c>
      <c r="D154" t="str">
        <f>ChugachRAW!D154</f>
        <v>Sockeye</v>
      </c>
      <c r="E154">
        <f>ChugachRAW!F154</f>
        <v>270185.88</v>
      </c>
      <c r="F154">
        <f>ChugachRAW!G154</f>
        <v>484310</v>
      </c>
    </row>
    <row r="155" spans="1:6" x14ac:dyDescent="0.2">
      <c r="A155" t="s">
        <v>330</v>
      </c>
      <c r="B155">
        <f>ChugachRAW!A155</f>
        <v>2014</v>
      </c>
      <c r="C155" t="str">
        <f>ChugachRAW!C155</f>
        <v>Sport</v>
      </c>
      <c r="D155" t="str">
        <f>ChugachRAW!D155</f>
        <v>Sockeye</v>
      </c>
      <c r="E155">
        <f>ChugachRAW!F155</f>
        <v>237773.32</v>
      </c>
      <c r="F155">
        <f>ChugachRAW!G155</f>
        <v>414581</v>
      </c>
    </row>
    <row r="156" spans="1:6" x14ac:dyDescent="0.2">
      <c r="A156" t="s">
        <v>330</v>
      </c>
      <c r="B156">
        <f>ChugachRAW!A156</f>
        <v>2015</v>
      </c>
      <c r="C156" t="str">
        <f>ChugachRAW!C156</f>
        <v>Sport</v>
      </c>
      <c r="D156" t="str">
        <f>ChugachRAW!D156</f>
        <v>Sockeye</v>
      </c>
      <c r="E156">
        <f>ChugachRAW!F156</f>
        <v>231174.56</v>
      </c>
      <c r="F156">
        <f>ChugachRAW!G156</f>
        <v>411228</v>
      </c>
    </row>
    <row r="157" spans="1:6" x14ac:dyDescent="0.2">
      <c r="A157" t="s">
        <v>330</v>
      </c>
      <c r="B157">
        <f>ChugachRAW!A157</f>
        <v>2016</v>
      </c>
      <c r="C157" t="str">
        <f>ChugachRAW!C157</f>
        <v>Sport</v>
      </c>
      <c r="D157" t="str">
        <f>ChugachRAW!D157</f>
        <v>Sockeye</v>
      </c>
      <c r="E157">
        <f>ChugachRAW!F157</f>
        <v>193048.02</v>
      </c>
      <c r="F157">
        <f>ChugachRAW!G157</f>
        <v>354602</v>
      </c>
    </row>
    <row r="158" spans="1:6" x14ac:dyDescent="0.2">
      <c r="A158" t="s">
        <v>330</v>
      </c>
      <c r="B158">
        <f>ChugachRAW!A158</f>
        <v>2017</v>
      </c>
      <c r="C158" t="str">
        <f>ChugachRAW!C158</f>
        <v>Sport</v>
      </c>
      <c r="D158" t="str">
        <f>ChugachRAW!D158</f>
        <v>Sockeye</v>
      </c>
      <c r="E158">
        <f>ChugachRAW!F158</f>
        <v>186317.55</v>
      </c>
      <c r="F158">
        <f>ChugachRAW!G158</f>
        <v>329106</v>
      </c>
    </row>
    <row r="159" spans="1:6" x14ac:dyDescent="0.2">
      <c r="A159" t="s">
        <v>330</v>
      </c>
      <c r="B159">
        <f>ChugachRAW!A159</f>
        <v>2018</v>
      </c>
      <c r="C159" t="str">
        <f>ChugachRAW!C159</f>
        <v>Sport</v>
      </c>
      <c r="D159" t="str">
        <f>ChugachRAW!D159</f>
        <v>Sockeye</v>
      </c>
      <c r="E159">
        <f>ChugachRAW!F159</f>
        <v>130859.72</v>
      </c>
      <c r="F159">
        <f>ChugachRAW!G159</f>
        <v>215469</v>
      </c>
    </row>
    <row r="160" spans="1:6" x14ac:dyDescent="0.2">
      <c r="A160" t="s">
        <v>330</v>
      </c>
      <c r="B160">
        <f>ChugachRAW!A160</f>
        <v>2019</v>
      </c>
      <c r="C160" t="str">
        <f>ChugachRAW!C160</f>
        <v>Sport</v>
      </c>
      <c r="D160" t="str">
        <f>ChugachRAW!D160</f>
        <v>Sockeye</v>
      </c>
      <c r="E160">
        <f>ChugachRAW!F160</f>
        <v>320020.89</v>
      </c>
      <c r="F160">
        <f>ChugachRAW!G160</f>
        <v>552006</v>
      </c>
    </row>
    <row r="161" spans="1:6" x14ac:dyDescent="0.2">
      <c r="A161" t="s">
        <v>330</v>
      </c>
      <c r="B161">
        <f>ChugachRAW!A161</f>
        <v>2020</v>
      </c>
      <c r="C161" t="str">
        <f>ChugachRAW!C161</f>
        <v>Sport</v>
      </c>
      <c r="D161" t="str">
        <f>ChugachRAW!D161</f>
        <v>Sockeye</v>
      </c>
      <c r="E161">
        <f>ChugachRAW!F161</f>
        <v>167629.91999999998</v>
      </c>
      <c r="F161">
        <f>ChugachRAW!G161</f>
        <v>292968</v>
      </c>
    </row>
    <row r="162" spans="1:6" x14ac:dyDescent="0.2">
      <c r="A162" t="s">
        <v>330</v>
      </c>
      <c r="B162">
        <f>ChugachRAW!A162</f>
        <v>2011</v>
      </c>
      <c r="C162" t="str">
        <f>ChugachRAW!C162</f>
        <v>Sport</v>
      </c>
      <c r="D162" t="str">
        <f>ChugachRAW!D162</f>
        <v>Coho</v>
      </c>
      <c r="E162">
        <f>ChugachRAW!F162</f>
        <v>14062.04</v>
      </c>
      <c r="F162">
        <f>ChugachRAW!G162</f>
        <v>48485</v>
      </c>
    </row>
    <row r="163" spans="1:6" x14ac:dyDescent="0.2">
      <c r="A163" t="s">
        <v>330</v>
      </c>
      <c r="B163">
        <f>ChugachRAW!A163</f>
        <v>2012</v>
      </c>
      <c r="C163" t="str">
        <f>ChugachRAW!C163</f>
        <v>Sport</v>
      </c>
      <c r="D163" t="str">
        <f>ChugachRAW!D163</f>
        <v>Coho</v>
      </c>
      <c r="E163">
        <f>ChugachRAW!F163</f>
        <v>12845.54</v>
      </c>
      <c r="F163">
        <f>ChugachRAW!G163</f>
        <v>41243</v>
      </c>
    </row>
    <row r="164" spans="1:6" x14ac:dyDescent="0.2">
      <c r="A164" t="s">
        <v>330</v>
      </c>
      <c r="B164">
        <f>ChugachRAW!A164</f>
        <v>2013</v>
      </c>
      <c r="C164" t="str">
        <f>ChugachRAW!C164</f>
        <v>Sport</v>
      </c>
      <c r="D164" t="str">
        <f>ChugachRAW!D164</f>
        <v>Coho</v>
      </c>
      <c r="E164">
        <f>ChugachRAW!F164</f>
        <v>15094.88</v>
      </c>
      <c r="F164">
        <f>ChugachRAW!G164</f>
        <v>53279</v>
      </c>
    </row>
    <row r="165" spans="1:6" x14ac:dyDescent="0.2">
      <c r="A165" t="s">
        <v>330</v>
      </c>
      <c r="B165">
        <f>ChugachRAW!A165</f>
        <v>2014</v>
      </c>
      <c r="C165" t="str">
        <f>ChugachRAW!C165</f>
        <v>Sport</v>
      </c>
      <c r="D165" t="str">
        <f>ChugachRAW!D165</f>
        <v>Coho</v>
      </c>
      <c r="E165">
        <f>ChugachRAW!F165</f>
        <v>16455.52</v>
      </c>
      <c r="F165">
        <f>ChugachRAW!G165</f>
        <v>63697</v>
      </c>
    </row>
    <row r="166" spans="1:6" x14ac:dyDescent="0.2">
      <c r="A166" t="s">
        <v>330</v>
      </c>
      <c r="B166">
        <f>ChugachRAW!A166</f>
        <v>2015</v>
      </c>
      <c r="C166" t="str">
        <f>ChugachRAW!C166</f>
        <v>Sport</v>
      </c>
      <c r="D166" t="str">
        <f>ChugachRAW!D166</f>
        <v>Coho</v>
      </c>
      <c r="E166">
        <f>ChugachRAW!F166</f>
        <v>17225.739999999998</v>
      </c>
      <c r="F166">
        <f>ChugachRAW!G166</f>
        <v>61738</v>
      </c>
    </row>
    <row r="167" spans="1:6" x14ac:dyDescent="0.2">
      <c r="A167" t="s">
        <v>330</v>
      </c>
      <c r="B167">
        <f>ChugachRAW!A167</f>
        <v>2016</v>
      </c>
      <c r="C167" t="str">
        <f>ChugachRAW!C167</f>
        <v>Sport</v>
      </c>
      <c r="D167" t="str">
        <f>ChugachRAW!D167</f>
        <v>Coho</v>
      </c>
      <c r="E167">
        <f>ChugachRAW!F167</f>
        <v>12257.82</v>
      </c>
      <c r="F167">
        <f>ChugachRAW!G167</f>
        <v>43404</v>
      </c>
    </row>
    <row r="168" spans="1:6" x14ac:dyDescent="0.2">
      <c r="A168" t="s">
        <v>330</v>
      </c>
      <c r="B168">
        <f>ChugachRAW!A168</f>
        <v>2017</v>
      </c>
      <c r="C168" t="str">
        <f>ChugachRAW!C168</f>
        <v>Sport</v>
      </c>
      <c r="D168" t="str">
        <f>ChugachRAW!D168</f>
        <v>Coho</v>
      </c>
      <c r="E168">
        <f>ChugachRAW!F168</f>
        <v>14129.94</v>
      </c>
      <c r="F168">
        <f>ChugachRAW!G168</f>
        <v>51903</v>
      </c>
    </row>
    <row r="169" spans="1:6" x14ac:dyDescent="0.2">
      <c r="A169" t="s">
        <v>330</v>
      </c>
      <c r="B169">
        <f>ChugachRAW!A169</f>
        <v>2018</v>
      </c>
      <c r="C169" t="str">
        <f>ChugachRAW!C169</f>
        <v>Sport</v>
      </c>
      <c r="D169" t="str">
        <f>ChugachRAW!D169</f>
        <v>Coho</v>
      </c>
      <c r="E169">
        <f>ChugachRAW!F169</f>
        <v>16281.98</v>
      </c>
      <c r="F169">
        <f>ChugachRAW!G169</f>
        <v>55679</v>
      </c>
    </row>
    <row r="170" spans="1:6" x14ac:dyDescent="0.2">
      <c r="A170" t="s">
        <v>330</v>
      </c>
      <c r="B170">
        <f>ChugachRAW!A170</f>
        <v>2019</v>
      </c>
      <c r="C170" t="str">
        <f>ChugachRAW!C170</f>
        <v>Sport</v>
      </c>
      <c r="D170" t="str">
        <f>ChugachRAW!D170</f>
        <v>Coho</v>
      </c>
      <c r="E170">
        <f>ChugachRAW!F170</f>
        <v>12690.14</v>
      </c>
      <c r="F170">
        <f>ChugachRAW!G170</f>
        <v>44699</v>
      </c>
    </row>
    <row r="171" spans="1:6" x14ac:dyDescent="0.2">
      <c r="A171" t="s">
        <v>330</v>
      </c>
      <c r="B171">
        <f>ChugachRAW!A171</f>
        <v>2020</v>
      </c>
      <c r="C171" t="str">
        <f>ChugachRAW!C171</f>
        <v>Sport</v>
      </c>
      <c r="D171" t="str">
        <f>ChugachRAW!D171</f>
        <v>Coho</v>
      </c>
      <c r="E171">
        <f>ChugachRAW!F171</f>
        <v>9541.2799999999988</v>
      </c>
      <c r="F171">
        <f>ChugachRAW!G171</f>
        <v>30932</v>
      </c>
    </row>
    <row r="172" spans="1:6" x14ac:dyDescent="0.2">
      <c r="A172" t="s">
        <v>330</v>
      </c>
      <c r="B172">
        <f>ChugachRAW!A172</f>
        <v>2011</v>
      </c>
      <c r="C172" t="str">
        <f>ChugachRAW!C172</f>
        <v>Sport</v>
      </c>
      <c r="D172" t="str">
        <f>ChugachRAW!D172</f>
        <v>Pink</v>
      </c>
      <c r="E172">
        <f>ChugachRAW!F172</f>
        <v>1680.44</v>
      </c>
      <c r="F172">
        <f>ChugachRAW!G172</f>
        <v>5123</v>
      </c>
    </row>
    <row r="173" spans="1:6" x14ac:dyDescent="0.2">
      <c r="A173" t="s">
        <v>330</v>
      </c>
      <c r="B173">
        <f>ChugachRAW!A173</f>
        <v>2012</v>
      </c>
      <c r="C173" t="str">
        <f>ChugachRAW!C173</f>
        <v>Sport</v>
      </c>
      <c r="D173" t="str">
        <f>ChugachRAW!D173</f>
        <v>Pink</v>
      </c>
      <c r="E173">
        <f>ChugachRAW!F173</f>
        <v>2310.48</v>
      </c>
      <c r="F173">
        <f>ChugachRAW!G173</f>
        <v>19242</v>
      </c>
    </row>
    <row r="174" spans="1:6" x14ac:dyDescent="0.2">
      <c r="A174" t="s">
        <v>330</v>
      </c>
      <c r="B174">
        <f>ChugachRAW!A174</f>
        <v>2013</v>
      </c>
      <c r="C174" t="str">
        <f>ChugachRAW!C174</f>
        <v>Sport</v>
      </c>
      <c r="D174" t="str">
        <f>ChugachRAW!D174</f>
        <v>Pink</v>
      </c>
      <c r="E174">
        <f>ChugachRAW!F174</f>
        <v>1145.2</v>
      </c>
      <c r="F174">
        <f>ChugachRAW!G174</f>
        <v>4150</v>
      </c>
    </row>
    <row r="175" spans="1:6" x14ac:dyDescent="0.2">
      <c r="A175" t="s">
        <v>330</v>
      </c>
      <c r="B175">
        <f>ChugachRAW!A175</f>
        <v>2014</v>
      </c>
      <c r="C175" t="str">
        <f>ChugachRAW!C175</f>
        <v>Sport</v>
      </c>
      <c r="D175" t="str">
        <f>ChugachRAW!D175</f>
        <v>Pink</v>
      </c>
      <c r="E175">
        <f>ChugachRAW!F175</f>
        <v>4181.76</v>
      </c>
      <c r="F175">
        <f>ChugachRAW!G175</f>
        <v>28104</v>
      </c>
    </row>
    <row r="176" spans="1:6" x14ac:dyDescent="0.2">
      <c r="A176" t="s">
        <v>330</v>
      </c>
      <c r="B176">
        <f>ChugachRAW!A176</f>
        <v>2015</v>
      </c>
      <c r="C176" t="str">
        <f>ChugachRAW!C176</f>
        <v>Sport</v>
      </c>
      <c r="D176" t="str">
        <f>ChugachRAW!D176</f>
        <v>Pink</v>
      </c>
      <c r="E176">
        <f>ChugachRAW!F176</f>
        <v>3021.56</v>
      </c>
      <c r="F176">
        <f>ChugachRAW!G176</f>
        <v>7739</v>
      </c>
    </row>
    <row r="177" spans="1:6" x14ac:dyDescent="0.2">
      <c r="A177" t="s">
        <v>330</v>
      </c>
      <c r="B177">
        <f>ChugachRAW!A177</f>
        <v>2016</v>
      </c>
      <c r="C177" t="str">
        <f>ChugachRAW!C177</f>
        <v>Sport</v>
      </c>
      <c r="D177" t="str">
        <f>ChugachRAW!D177</f>
        <v>Pink</v>
      </c>
      <c r="E177">
        <f>ChugachRAW!F177</f>
        <v>3926.16</v>
      </c>
      <c r="F177">
        <f>ChugachRAW!G177</f>
        <v>26658</v>
      </c>
    </row>
    <row r="178" spans="1:6" x14ac:dyDescent="0.2">
      <c r="A178" t="s">
        <v>330</v>
      </c>
      <c r="B178">
        <f>ChugachRAW!A178</f>
        <v>2017</v>
      </c>
      <c r="C178" t="str">
        <f>ChugachRAW!C178</f>
        <v>Sport</v>
      </c>
      <c r="D178" t="str">
        <f>ChugachRAW!D178</f>
        <v>Pink</v>
      </c>
      <c r="E178">
        <f>ChugachRAW!F178</f>
        <v>4148.96</v>
      </c>
      <c r="F178">
        <f>ChugachRAW!G178</f>
        <v>9812</v>
      </c>
    </row>
    <row r="179" spans="1:6" x14ac:dyDescent="0.2">
      <c r="A179" t="s">
        <v>330</v>
      </c>
      <c r="B179">
        <f>ChugachRAW!A179</f>
        <v>2018</v>
      </c>
      <c r="C179" t="str">
        <f>ChugachRAW!C179</f>
        <v>Sport</v>
      </c>
      <c r="D179" t="str">
        <f>ChugachRAW!D179</f>
        <v>Pink</v>
      </c>
      <c r="E179">
        <f>ChugachRAW!F179</f>
        <v>4818.68</v>
      </c>
      <c r="F179">
        <f>ChugachRAW!G179</f>
        <v>24155</v>
      </c>
    </row>
    <row r="180" spans="1:6" x14ac:dyDescent="0.2">
      <c r="A180" t="s">
        <v>330</v>
      </c>
      <c r="B180">
        <f>ChugachRAW!A180</f>
        <v>2019</v>
      </c>
      <c r="C180" t="str">
        <f>ChugachRAW!C180</f>
        <v>Sport</v>
      </c>
      <c r="D180" t="str">
        <f>ChugachRAW!D180</f>
        <v>Pink</v>
      </c>
      <c r="E180">
        <f>ChugachRAW!F180</f>
        <v>3359.48</v>
      </c>
      <c r="F180">
        <f>ChugachRAW!G180</f>
        <v>9395</v>
      </c>
    </row>
    <row r="181" spans="1:6" x14ac:dyDescent="0.2">
      <c r="A181" t="s">
        <v>330</v>
      </c>
      <c r="B181">
        <f>ChugachRAW!A181</f>
        <v>2020</v>
      </c>
      <c r="C181" t="str">
        <f>ChugachRAW!C181</f>
        <v>Sport</v>
      </c>
      <c r="D181" t="str">
        <f>ChugachRAW!D181</f>
        <v>Pink</v>
      </c>
      <c r="E181">
        <f>ChugachRAW!F181</f>
        <v>5875.52</v>
      </c>
      <c r="F181">
        <f>ChugachRAW!G181</f>
        <v>21128</v>
      </c>
    </row>
    <row r="182" spans="1:6" x14ac:dyDescent="0.2">
      <c r="A182" t="s">
        <v>330</v>
      </c>
      <c r="B182">
        <f>ChugachRAW!A182</f>
        <v>2011</v>
      </c>
      <c r="C182" t="str">
        <f>ChugachRAW!C182</f>
        <v>Sport</v>
      </c>
      <c r="D182" t="str">
        <f>ChugachRAW!D182</f>
        <v>Chum</v>
      </c>
      <c r="E182">
        <f>ChugachRAW!F182</f>
        <v>34</v>
      </c>
      <c r="F182">
        <f>ChugachRAW!G182</f>
        <v>111</v>
      </c>
    </row>
    <row r="183" spans="1:6" x14ac:dyDescent="0.2">
      <c r="A183" t="s">
        <v>330</v>
      </c>
      <c r="B183">
        <f>ChugachRAW!A183</f>
        <v>2012</v>
      </c>
      <c r="C183" t="str">
        <f>ChugachRAW!C183</f>
        <v>Sport</v>
      </c>
      <c r="D183" t="str">
        <f>ChugachRAW!D183</f>
        <v>Chum</v>
      </c>
      <c r="E183">
        <f>ChugachRAW!F183</f>
        <v>18</v>
      </c>
      <c r="F183">
        <f>ChugachRAW!G183</f>
        <v>375</v>
      </c>
    </row>
    <row r="184" spans="1:6" x14ac:dyDescent="0.2">
      <c r="A184" t="s">
        <v>330</v>
      </c>
      <c r="B184">
        <f>ChugachRAW!A184</f>
        <v>2013</v>
      </c>
      <c r="C184" t="str">
        <f>ChugachRAW!C184</f>
        <v>Sport</v>
      </c>
      <c r="D184" t="str">
        <f>ChugachRAW!D184</f>
        <v>Chum</v>
      </c>
      <c r="E184">
        <f>ChugachRAW!F184</f>
        <v>89</v>
      </c>
      <c r="F184">
        <f>ChugachRAW!G184</f>
        <v>238</v>
      </c>
    </row>
    <row r="185" spans="1:6" x14ac:dyDescent="0.2">
      <c r="A185" t="s">
        <v>330</v>
      </c>
      <c r="B185">
        <f>ChugachRAW!A185</f>
        <v>2014</v>
      </c>
      <c r="C185" t="str">
        <f>ChugachRAW!C185</f>
        <v>Sport</v>
      </c>
      <c r="D185" t="str">
        <f>ChugachRAW!D185</f>
        <v>Chum</v>
      </c>
      <c r="E185">
        <f>ChugachRAW!F185</f>
        <v>20</v>
      </c>
      <c r="F185">
        <f>ChugachRAW!G185</f>
        <v>51</v>
      </c>
    </row>
    <row r="186" spans="1:6" x14ac:dyDescent="0.2">
      <c r="A186" t="s">
        <v>330</v>
      </c>
      <c r="B186">
        <f>ChugachRAW!A186</f>
        <v>2015</v>
      </c>
      <c r="C186" t="str">
        <f>ChugachRAW!C186</f>
        <v>Sport</v>
      </c>
      <c r="D186" t="str">
        <f>ChugachRAW!D186</f>
        <v>Chum</v>
      </c>
      <c r="E186">
        <f>ChugachRAW!F186</f>
        <v>332</v>
      </c>
      <c r="F186">
        <f>ChugachRAW!G186</f>
        <v>522</v>
      </c>
    </row>
    <row r="187" spans="1:6" x14ac:dyDescent="0.2">
      <c r="A187" t="s">
        <v>330</v>
      </c>
      <c r="B187">
        <f>ChugachRAW!A187</f>
        <v>2016</v>
      </c>
      <c r="C187" t="str">
        <f>ChugachRAW!C187</f>
        <v>Sport</v>
      </c>
      <c r="D187" t="str">
        <f>ChugachRAW!D187</f>
        <v>Chum</v>
      </c>
      <c r="E187">
        <f>ChugachRAW!F187</f>
        <v>143</v>
      </c>
      <c r="F187">
        <f>ChugachRAW!G187</f>
        <v>722</v>
      </c>
    </row>
    <row r="188" spans="1:6" x14ac:dyDescent="0.2">
      <c r="A188" t="s">
        <v>330</v>
      </c>
      <c r="B188">
        <f>ChugachRAW!A188</f>
        <v>2017</v>
      </c>
      <c r="C188" t="str">
        <f>ChugachRAW!C188</f>
        <v>Sport</v>
      </c>
      <c r="D188" t="str">
        <f>ChugachRAW!D188</f>
        <v>Chum</v>
      </c>
      <c r="E188">
        <f>ChugachRAW!F188</f>
        <v>63</v>
      </c>
      <c r="F188">
        <f>ChugachRAW!G188</f>
        <v>75</v>
      </c>
    </row>
    <row r="189" spans="1:6" x14ac:dyDescent="0.2">
      <c r="A189" t="s">
        <v>330</v>
      </c>
      <c r="B189">
        <f>ChugachRAW!A189</f>
        <v>2018</v>
      </c>
      <c r="C189" t="str">
        <f>ChugachRAW!C189</f>
        <v>Sport</v>
      </c>
      <c r="D189" t="str">
        <f>ChugachRAW!D189</f>
        <v>Chum</v>
      </c>
      <c r="E189">
        <f>ChugachRAW!F189</f>
        <v>286</v>
      </c>
      <c r="F189">
        <f>ChugachRAW!G189</f>
        <v>286</v>
      </c>
    </row>
    <row r="190" spans="1:6" x14ac:dyDescent="0.2">
      <c r="A190" t="s">
        <v>330</v>
      </c>
      <c r="B190">
        <f>ChugachRAW!A190</f>
        <v>2019</v>
      </c>
      <c r="C190" t="str">
        <f>ChugachRAW!C190</f>
        <v>Sport</v>
      </c>
      <c r="D190" t="str">
        <f>ChugachRAW!D190</f>
        <v>Chum</v>
      </c>
      <c r="E190">
        <f>ChugachRAW!F190</f>
        <v>121</v>
      </c>
      <c r="F190">
        <f>ChugachRAW!G190</f>
        <v>121</v>
      </c>
    </row>
    <row r="191" spans="1:6" x14ac:dyDescent="0.2">
      <c r="A191" t="s">
        <v>330</v>
      </c>
      <c r="B191">
        <f>ChugachRAW!A191</f>
        <v>2020</v>
      </c>
      <c r="C191" t="str">
        <f>ChugachRAW!C191</f>
        <v>Sport</v>
      </c>
      <c r="D191" t="str">
        <f>ChugachRAW!D191</f>
        <v>Chum</v>
      </c>
      <c r="E191">
        <f>ChugachRAW!F191</f>
        <v>65</v>
      </c>
      <c r="F191">
        <f>ChugachRAW!G191</f>
        <v>65</v>
      </c>
    </row>
    <row r="192" spans="1:6" x14ac:dyDescent="0.2">
      <c r="A192" t="s">
        <v>330</v>
      </c>
      <c r="B192">
        <f>ChugachRAW!A192</f>
        <v>2011</v>
      </c>
      <c r="C192" t="str">
        <f>ChugachRAW!C192</f>
        <v>Sport</v>
      </c>
      <c r="D192" t="str">
        <f>ChugachRAW!D192</f>
        <v>Chinook</v>
      </c>
      <c r="E192">
        <f>ChugachRAW!F192</f>
        <v>1749.8100000000002</v>
      </c>
      <c r="F192">
        <f>ChugachRAW!G192</f>
        <v>10293</v>
      </c>
    </row>
    <row r="193" spans="1:6" x14ac:dyDescent="0.2">
      <c r="A193" t="s">
        <v>330</v>
      </c>
      <c r="B193">
        <f>ChugachRAW!A193</f>
        <v>2012</v>
      </c>
      <c r="C193" t="str">
        <f>ChugachRAW!C193</f>
        <v>Sport</v>
      </c>
      <c r="D193" t="str">
        <f>ChugachRAW!D193</f>
        <v>Chinook</v>
      </c>
      <c r="E193">
        <f>ChugachRAW!F193</f>
        <v>206.04000000000002</v>
      </c>
      <c r="F193">
        <f>ChugachRAW!G193</f>
        <v>1212</v>
      </c>
    </row>
    <row r="194" spans="1:6" x14ac:dyDescent="0.2">
      <c r="A194" t="s">
        <v>330</v>
      </c>
      <c r="B194">
        <f>ChugachRAW!A194</f>
        <v>2013</v>
      </c>
      <c r="C194" t="str">
        <f>ChugachRAW!C194</f>
        <v>Sport</v>
      </c>
      <c r="D194" t="str">
        <f>ChugachRAW!D194</f>
        <v>Chinook</v>
      </c>
      <c r="E194">
        <f>ChugachRAW!F194</f>
        <v>238.85000000000002</v>
      </c>
      <c r="F194">
        <f>ChugachRAW!G194</f>
        <v>1405</v>
      </c>
    </row>
    <row r="195" spans="1:6" x14ac:dyDescent="0.2">
      <c r="A195" t="s">
        <v>330</v>
      </c>
      <c r="B195">
        <f>ChugachRAW!A195</f>
        <v>2014</v>
      </c>
      <c r="C195" t="str">
        <f>ChugachRAW!C195</f>
        <v>Sport</v>
      </c>
      <c r="D195" t="str">
        <f>ChugachRAW!D195</f>
        <v>Chinook</v>
      </c>
      <c r="E195">
        <f>ChugachRAW!F195</f>
        <v>221.17000000000002</v>
      </c>
      <c r="F195">
        <f>ChugachRAW!G195</f>
        <v>1301</v>
      </c>
    </row>
    <row r="196" spans="1:6" x14ac:dyDescent="0.2">
      <c r="A196" t="s">
        <v>330</v>
      </c>
      <c r="B196">
        <f>ChugachRAW!A196</f>
        <v>2015</v>
      </c>
      <c r="C196" t="str">
        <f>ChugachRAW!C196</f>
        <v>Sport</v>
      </c>
      <c r="D196" t="str">
        <f>ChugachRAW!D196</f>
        <v>Chinook</v>
      </c>
      <c r="E196">
        <f>ChugachRAW!F196</f>
        <v>681.53000000000009</v>
      </c>
      <c r="F196">
        <f>ChugachRAW!G196</f>
        <v>4009</v>
      </c>
    </row>
    <row r="197" spans="1:6" x14ac:dyDescent="0.2">
      <c r="A197" t="s">
        <v>330</v>
      </c>
      <c r="B197">
        <f>ChugachRAW!A197</f>
        <v>2016</v>
      </c>
      <c r="C197" t="str">
        <f>ChugachRAW!C197</f>
        <v>Sport</v>
      </c>
      <c r="D197" t="str">
        <f>ChugachRAW!D197</f>
        <v>Chinook</v>
      </c>
      <c r="E197">
        <f>ChugachRAW!F197</f>
        <v>1449.0800000000002</v>
      </c>
      <c r="F197">
        <f>ChugachRAW!G197</f>
        <v>8524</v>
      </c>
    </row>
    <row r="198" spans="1:6" x14ac:dyDescent="0.2">
      <c r="A198" t="s">
        <v>330</v>
      </c>
      <c r="B198">
        <f>ChugachRAW!A198</f>
        <v>2017</v>
      </c>
      <c r="C198" t="str">
        <f>ChugachRAW!C198</f>
        <v>Sport</v>
      </c>
      <c r="D198" t="str">
        <f>ChugachRAW!D198</f>
        <v>Chinook</v>
      </c>
      <c r="E198">
        <f>ChugachRAW!F198</f>
        <v>1666.3400000000001</v>
      </c>
      <c r="F198">
        <f>ChugachRAW!G198</f>
        <v>9802</v>
      </c>
    </row>
    <row r="199" spans="1:6" x14ac:dyDescent="0.2">
      <c r="A199" t="s">
        <v>330</v>
      </c>
      <c r="B199">
        <f>ChugachRAW!A199</f>
        <v>2018</v>
      </c>
      <c r="C199" t="str">
        <f>ChugachRAW!C199</f>
        <v>Sport</v>
      </c>
      <c r="D199" t="str">
        <f>ChugachRAW!D199</f>
        <v>Chinook</v>
      </c>
      <c r="E199">
        <f>ChugachRAW!F199</f>
        <v>331.67</v>
      </c>
      <c r="F199">
        <f>ChugachRAW!G199</f>
        <v>1951</v>
      </c>
    </row>
    <row r="200" spans="1:6" x14ac:dyDescent="0.2">
      <c r="A200" t="s">
        <v>330</v>
      </c>
      <c r="B200">
        <f>ChugachRAW!A200</f>
        <v>2019</v>
      </c>
      <c r="C200" t="str">
        <f>ChugachRAW!C200</f>
        <v>Sport</v>
      </c>
      <c r="D200" t="str">
        <f>ChugachRAW!D200</f>
        <v>Chinook</v>
      </c>
      <c r="E200">
        <f>ChugachRAW!F200</f>
        <v>343.57000000000005</v>
      </c>
      <c r="F200">
        <f>ChugachRAW!G200</f>
        <v>2021</v>
      </c>
    </row>
    <row r="201" spans="1:6" x14ac:dyDescent="0.2">
      <c r="A201" t="s">
        <v>330</v>
      </c>
      <c r="B201">
        <f>ChugachRAW!A201</f>
        <v>2020</v>
      </c>
      <c r="C201" t="str">
        <f>ChugachRAW!C201</f>
        <v>Sport</v>
      </c>
      <c r="D201" t="str">
        <f>ChugachRAW!D201</f>
        <v>Chinook</v>
      </c>
      <c r="E201">
        <f>ChugachRAW!F201</f>
        <v>229.67000000000002</v>
      </c>
      <c r="F201">
        <f>ChugachRAW!G201</f>
        <v>1351</v>
      </c>
    </row>
    <row r="202" spans="1:6" x14ac:dyDescent="0.2">
      <c r="A202" t="s">
        <v>330</v>
      </c>
      <c r="B202">
        <f>ChugachRAW!A202</f>
        <v>2011</v>
      </c>
      <c r="C202" t="str">
        <f>ChugachRAW!C202</f>
        <v>Subsistence</v>
      </c>
      <c r="D202" t="str">
        <f>ChugachRAW!D202</f>
        <v>Sockeye</v>
      </c>
      <c r="E202">
        <f>ChugachRAW!F202</f>
        <v>1838.7519466666668</v>
      </c>
      <c r="F202">
        <f>ChugachRAW!G202</f>
        <v>3917.2713333333336</v>
      </c>
    </row>
    <row r="203" spans="1:6" x14ac:dyDescent="0.2">
      <c r="A203" t="s">
        <v>330</v>
      </c>
      <c r="B203">
        <f>ChugachRAW!A203</f>
        <v>2012</v>
      </c>
      <c r="C203" t="str">
        <f>ChugachRAW!C203</f>
        <v>Subsistence</v>
      </c>
      <c r="D203" t="str">
        <f>ChugachRAW!D203</f>
        <v>Sockeye</v>
      </c>
      <c r="E203">
        <f>ChugachRAW!F203</f>
        <v>2972.4133333333334</v>
      </c>
      <c r="F203">
        <f>ChugachRAW!G203</f>
        <v>6665.1666666666661</v>
      </c>
    </row>
    <row r="204" spans="1:6" x14ac:dyDescent="0.2">
      <c r="A204" t="s">
        <v>330</v>
      </c>
      <c r="B204">
        <f>ChugachRAW!A204</f>
        <v>2013</v>
      </c>
      <c r="C204" t="str">
        <f>ChugachRAW!C204</f>
        <v>Subsistence</v>
      </c>
      <c r="D204" t="str">
        <f>ChugachRAW!D204</f>
        <v>Sockeye</v>
      </c>
      <c r="E204">
        <f>ChugachRAW!F204</f>
        <v>3132.5862800000004</v>
      </c>
      <c r="F204">
        <f>ChugachRAW!G204</f>
        <v>7165.9880000000003</v>
      </c>
    </row>
    <row r="205" spans="1:6" x14ac:dyDescent="0.2">
      <c r="A205" t="s">
        <v>330</v>
      </c>
      <c r="B205">
        <f>ChugachRAW!A205</f>
        <v>2014</v>
      </c>
      <c r="C205" t="str">
        <f>ChugachRAW!C205</f>
        <v>Subsistence</v>
      </c>
      <c r="D205" t="str">
        <f>ChugachRAW!D205</f>
        <v>Sockeye</v>
      </c>
      <c r="E205">
        <f>ChugachRAW!F205</f>
        <v>1359.29483</v>
      </c>
      <c r="F205">
        <f>ChugachRAW!G205</f>
        <v>2880.1929999999998</v>
      </c>
    </row>
    <row r="206" spans="1:6" x14ac:dyDescent="0.2">
      <c r="A206" t="s">
        <v>330</v>
      </c>
      <c r="B206">
        <f>ChugachRAW!A206</f>
        <v>2015</v>
      </c>
      <c r="C206" t="str">
        <f>ChugachRAW!C206</f>
        <v>Subsistence</v>
      </c>
      <c r="D206" t="str">
        <f>ChugachRAW!D206</f>
        <v>Sockeye</v>
      </c>
      <c r="E206">
        <f>ChugachRAW!F206</f>
        <v>1323.6477400000001</v>
      </c>
      <c r="F206">
        <f>ChugachRAW!G206</f>
        <v>2778.4659999999999</v>
      </c>
    </row>
    <row r="207" spans="1:6" x14ac:dyDescent="0.2">
      <c r="A207" t="s">
        <v>330</v>
      </c>
      <c r="B207">
        <f>ChugachRAW!A207</f>
        <v>2016</v>
      </c>
      <c r="C207" t="str">
        <f>ChugachRAW!C207</f>
        <v>Subsistence</v>
      </c>
      <c r="D207" t="str">
        <f>ChugachRAW!D207</f>
        <v>Sockeye</v>
      </c>
      <c r="E207">
        <f>ChugachRAW!F207</f>
        <v>1713.9102933333334</v>
      </c>
      <c r="F207">
        <f>ChugachRAW!G207</f>
        <v>3289.3076666666666</v>
      </c>
    </row>
    <row r="208" spans="1:6" x14ac:dyDescent="0.2">
      <c r="A208" t="s">
        <v>330</v>
      </c>
      <c r="B208">
        <f>ChugachRAW!A208</f>
        <v>2017</v>
      </c>
      <c r="C208" t="str">
        <f>ChugachRAW!C208</f>
        <v>Subsistence</v>
      </c>
      <c r="D208" t="str">
        <f>ChugachRAW!D208</f>
        <v>Sockeye</v>
      </c>
      <c r="E208">
        <f>ChugachRAW!F208</f>
        <v>3220.6760800000002</v>
      </c>
      <c r="F208">
        <f>ChugachRAW!G208</f>
        <v>6760.3680000000004</v>
      </c>
    </row>
    <row r="209" spans="1:6" x14ac:dyDescent="0.2">
      <c r="A209" t="s">
        <v>330</v>
      </c>
      <c r="B209">
        <f>ChugachRAW!A209</f>
        <v>2018</v>
      </c>
      <c r="C209" t="str">
        <f>ChugachRAW!C209</f>
        <v>Subsistence</v>
      </c>
      <c r="D209" t="str">
        <f>ChugachRAW!D209</f>
        <v>Sockeye</v>
      </c>
      <c r="E209">
        <f>ChugachRAW!F209</f>
        <v>4080.8928533333333</v>
      </c>
      <c r="F209">
        <f>ChugachRAW!G209</f>
        <v>9106.3086666666677</v>
      </c>
    </row>
    <row r="210" spans="1:6" x14ac:dyDescent="0.2">
      <c r="A210" t="s">
        <v>330</v>
      </c>
      <c r="B210">
        <f>ChugachRAW!A210</f>
        <v>2019</v>
      </c>
      <c r="C210" t="str">
        <f>ChugachRAW!C210</f>
        <v>Subsistence</v>
      </c>
      <c r="D210" t="str">
        <f>ChugachRAW!D210</f>
        <v>Sockeye</v>
      </c>
      <c r="E210">
        <f>ChugachRAW!F210</f>
        <v>4568.3302933333325</v>
      </c>
      <c r="F210">
        <f>ChugachRAW!G210</f>
        <v>9847.7526666666672</v>
      </c>
    </row>
    <row r="211" spans="1:6" x14ac:dyDescent="0.2">
      <c r="A211" t="s">
        <v>330</v>
      </c>
      <c r="B211">
        <f>ChugachRAW!A211</f>
        <v>2020</v>
      </c>
      <c r="C211" t="str">
        <f>ChugachRAW!C211</f>
        <v>Subsistence</v>
      </c>
      <c r="D211" t="str">
        <f>ChugachRAW!D211</f>
        <v>Sockeye</v>
      </c>
      <c r="E211">
        <f>ChugachRAW!F211</f>
        <v>6183.6607999999997</v>
      </c>
      <c r="F211">
        <f>ChugachRAW!G211</f>
        <v>13639.18</v>
      </c>
    </row>
    <row r="212" spans="1:6" x14ac:dyDescent="0.2">
      <c r="A212" t="s">
        <v>330</v>
      </c>
      <c r="B212">
        <f>ChugachRAW!A212</f>
        <v>2011</v>
      </c>
      <c r="C212" t="str">
        <f>ChugachRAW!C212</f>
        <v>Subsistence</v>
      </c>
      <c r="D212" t="str">
        <f>ChugachRAW!D212</f>
        <v>Coho</v>
      </c>
      <c r="E212">
        <f>ChugachRAW!F212</f>
        <v>913.65</v>
      </c>
      <c r="F212">
        <f>ChugachRAW!G212</f>
        <v>1139</v>
      </c>
    </row>
    <row r="213" spans="1:6" x14ac:dyDescent="0.2">
      <c r="A213" t="s">
        <v>330</v>
      </c>
      <c r="B213">
        <f>ChugachRAW!A213</f>
        <v>2012</v>
      </c>
      <c r="C213" t="str">
        <f>ChugachRAW!C213</f>
        <v>Subsistence</v>
      </c>
      <c r="D213" t="str">
        <f>ChugachRAW!D213</f>
        <v>Coho</v>
      </c>
      <c r="E213">
        <f>ChugachRAW!F213</f>
        <v>485.95</v>
      </c>
      <c r="F213">
        <f>ChugachRAW!G213</f>
        <v>523</v>
      </c>
    </row>
    <row r="214" spans="1:6" x14ac:dyDescent="0.2">
      <c r="A214" t="s">
        <v>330</v>
      </c>
      <c r="B214">
        <f>ChugachRAW!A214</f>
        <v>2013</v>
      </c>
      <c r="C214" t="str">
        <f>ChugachRAW!C214</f>
        <v>Subsistence</v>
      </c>
      <c r="D214" t="str">
        <f>ChugachRAW!D214</f>
        <v>Coho</v>
      </c>
      <c r="E214">
        <f>ChugachRAW!F214</f>
        <v>499.68</v>
      </c>
      <c r="F214">
        <f>ChugachRAW!G214</f>
        <v>611</v>
      </c>
    </row>
    <row r="215" spans="1:6" x14ac:dyDescent="0.2">
      <c r="A215" t="s">
        <v>330</v>
      </c>
      <c r="B215">
        <f>ChugachRAW!A215</f>
        <v>2014</v>
      </c>
      <c r="C215" t="str">
        <f>ChugachRAW!C215</f>
        <v>Subsistence</v>
      </c>
      <c r="D215" t="str">
        <f>ChugachRAW!D215</f>
        <v>Coho</v>
      </c>
      <c r="E215">
        <f>ChugachRAW!F215</f>
        <v>673.27</v>
      </c>
      <c r="F215">
        <f>ChugachRAW!G215</f>
        <v>715</v>
      </c>
    </row>
    <row r="216" spans="1:6" x14ac:dyDescent="0.2">
      <c r="A216" t="s">
        <v>330</v>
      </c>
      <c r="B216">
        <f>ChugachRAW!A216</f>
        <v>2015</v>
      </c>
      <c r="C216" t="str">
        <f>ChugachRAW!C216</f>
        <v>Subsistence</v>
      </c>
      <c r="D216" t="str">
        <f>ChugachRAW!D216</f>
        <v>Coho</v>
      </c>
      <c r="E216">
        <f>ChugachRAW!F216</f>
        <v>1009.88</v>
      </c>
      <c r="F216">
        <f>ChugachRAW!G216</f>
        <v>1081</v>
      </c>
    </row>
    <row r="217" spans="1:6" x14ac:dyDescent="0.2">
      <c r="A217" t="s">
        <v>330</v>
      </c>
      <c r="B217">
        <f>ChugachRAW!A217</f>
        <v>2016</v>
      </c>
      <c r="C217" t="str">
        <f>ChugachRAW!C217</f>
        <v>Subsistence</v>
      </c>
      <c r="D217" t="str">
        <f>ChugachRAW!D217</f>
        <v>Coho</v>
      </c>
      <c r="E217">
        <f>ChugachRAW!F217</f>
        <v>557.27</v>
      </c>
      <c r="F217">
        <f>ChugachRAW!G217</f>
        <v>558</v>
      </c>
    </row>
    <row r="218" spans="1:6" x14ac:dyDescent="0.2">
      <c r="A218" t="s">
        <v>330</v>
      </c>
      <c r="B218">
        <f>ChugachRAW!A218</f>
        <v>2017</v>
      </c>
      <c r="C218" t="str">
        <f>ChugachRAW!C218</f>
        <v>Subsistence</v>
      </c>
      <c r="D218" t="str">
        <f>ChugachRAW!D218</f>
        <v>Coho</v>
      </c>
      <c r="E218">
        <f>ChugachRAW!F218</f>
        <v>585.88</v>
      </c>
      <c r="F218">
        <f>ChugachRAW!G218</f>
        <v>624</v>
      </c>
    </row>
    <row r="219" spans="1:6" x14ac:dyDescent="0.2">
      <c r="A219" t="s">
        <v>330</v>
      </c>
      <c r="B219">
        <f>ChugachRAW!A219</f>
        <v>2018</v>
      </c>
      <c r="C219" t="str">
        <f>ChugachRAW!C219</f>
        <v>Subsistence</v>
      </c>
      <c r="D219" t="str">
        <f>ChugachRAW!D219</f>
        <v>Coho</v>
      </c>
      <c r="E219">
        <f>ChugachRAW!F219</f>
        <v>449.18999999999994</v>
      </c>
      <c r="F219">
        <f>ChugachRAW!G219</f>
        <v>519</v>
      </c>
    </row>
    <row r="220" spans="1:6" x14ac:dyDescent="0.2">
      <c r="A220" t="s">
        <v>330</v>
      </c>
      <c r="B220">
        <f>ChugachRAW!A220</f>
        <v>2019</v>
      </c>
      <c r="C220" t="str">
        <f>ChugachRAW!C220</f>
        <v>Subsistence</v>
      </c>
      <c r="D220" t="str">
        <f>ChugachRAW!D220</f>
        <v>Coho</v>
      </c>
      <c r="E220">
        <f>ChugachRAW!F220</f>
        <v>805.30090999999993</v>
      </c>
      <c r="F220">
        <f>ChugachRAW!G220</f>
        <v>837.25099999999998</v>
      </c>
    </row>
    <row r="221" spans="1:6" x14ac:dyDescent="0.2">
      <c r="A221" t="s">
        <v>330</v>
      </c>
      <c r="B221">
        <f>ChugachRAW!A221</f>
        <v>2020</v>
      </c>
      <c r="C221" t="str">
        <f>ChugachRAW!C221</f>
        <v>Subsistence</v>
      </c>
      <c r="D221" t="str">
        <f>ChugachRAW!D221</f>
        <v>Coho</v>
      </c>
      <c r="E221">
        <f>ChugachRAW!F221</f>
        <v>507.07732499999997</v>
      </c>
      <c r="F221">
        <f>ChugachRAW!G221</f>
        <v>586.20249999999999</v>
      </c>
    </row>
    <row r="222" spans="1:6" x14ac:dyDescent="0.2">
      <c r="A222" t="s">
        <v>330</v>
      </c>
      <c r="B222">
        <f>ChugachRAW!A222</f>
        <v>2011</v>
      </c>
      <c r="C222" t="str">
        <f>ChugachRAW!C222</f>
        <v>Subsistence</v>
      </c>
      <c r="D222" t="str">
        <f>ChugachRAW!D222</f>
        <v>Pink</v>
      </c>
      <c r="E222">
        <f>ChugachRAW!F222</f>
        <v>12.6435</v>
      </c>
      <c r="F222">
        <f>ChugachRAW!G222</f>
        <v>14.048333333333332</v>
      </c>
    </row>
    <row r="223" spans="1:6" x14ac:dyDescent="0.2">
      <c r="A223" t="s">
        <v>330</v>
      </c>
      <c r="B223">
        <f>ChugachRAW!A223</f>
        <v>2012</v>
      </c>
      <c r="C223" t="str">
        <f>ChugachRAW!C223</f>
        <v>Subsistence</v>
      </c>
      <c r="D223" t="str">
        <f>ChugachRAW!D223</f>
        <v>Pink</v>
      </c>
      <c r="E223">
        <f>ChugachRAW!F223</f>
        <v>0</v>
      </c>
      <c r="F223">
        <f>ChugachRAW!G223</f>
        <v>0</v>
      </c>
    </row>
    <row r="224" spans="1:6" x14ac:dyDescent="0.2">
      <c r="A224" t="s">
        <v>330</v>
      </c>
      <c r="B224">
        <f>ChugachRAW!A224</f>
        <v>2013</v>
      </c>
      <c r="C224" t="str">
        <f>ChugachRAW!C224</f>
        <v>Subsistence</v>
      </c>
      <c r="D224" t="str">
        <f>ChugachRAW!D224</f>
        <v>Pink</v>
      </c>
      <c r="E224">
        <f>ChugachRAW!F224</f>
        <v>0</v>
      </c>
      <c r="F224">
        <f>ChugachRAW!G224</f>
        <v>0</v>
      </c>
    </row>
    <row r="225" spans="1:6" x14ac:dyDescent="0.2">
      <c r="A225" t="s">
        <v>330</v>
      </c>
      <c r="B225">
        <f>ChugachRAW!A225</f>
        <v>2014</v>
      </c>
      <c r="C225" t="str">
        <f>ChugachRAW!C225</f>
        <v>Subsistence</v>
      </c>
      <c r="D225" t="str">
        <f>ChugachRAW!D225</f>
        <v>Pink</v>
      </c>
      <c r="E225">
        <f>ChugachRAW!F225</f>
        <v>0.80099999999999993</v>
      </c>
      <c r="F225">
        <f>ChugachRAW!G225</f>
        <v>0.8899999999999999</v>
      </c>
    </row>
    <row r="226" spans="1:6" x14ac:dyDescent="0.2">
      <c r="A226" t="s">
        <v>330</v>
      </c>
      <c r="B226">
        <f>ChugachRAW!A226</f>
        <v>2015</v>
      </c>
      <c r="C226" t="str">
        <f>ChugachRAW!C226</f>
        <v>Subsistence</v>
      </c>
      <c r="D226" t="str">
        <f>ChugachRAW!D226</f>
        <v>Pink</v>
      </c>
      <c r="E226">
        <f>ChugachRAW!F226</f>
        <v>0</v>
      </c>
      <c r="F226">
        <f>ChugachRAW!G226</f>
        <v>0</v>
      </c>
    </row>
    <row r="227" spans="1:6" x14ac:dyDescent="0.2">
      <c r="A227" t="s">
        <v>330</v>
      </c>
      <c r="B227">
        <f>ChugachRAW!A227</f>
        <v>2016</v>
      </c>
      <c r="C227" t="str">
        <f>ChugachRAW!C227</f>
        <v>Subsistence</v>
      </c>
      <c r="D227" t="str">
        <f>ChugachRAW!D227</f>
        <v>Pink</v>
      </c>
      <c r="E227">
        <f>ChugachRAW!F227</f>
        <v>0</v>
      </c>
      <c r="F227">
        <f>ChugachRAW!G227</f>
        <v>0</v>
      </c>
    </row>
    <row r="228" spans="1:6" x14ac:dyDescent="0.2">
      <c r="A228" t="s">
        <v>330</v>
      </c>
      <c r="B228">
        <f>ChugachRAW!A228</f>
        <v>2017</v>
      </c>
      <c r="C228" t="str">
        <f>ChugachRAW!C228</f>
        <v>Subsistence</v>
      </c>
      <c r="D228" t="str">
        <f>ChugachRAW!D228</f>
        <v>Pink</v>
      </c>
      <c r="E228">
        <f>ChugachRAW!F228</f>
        <v>0.44</v>
      </c>
      <c r="F228">
        <f>ChugachRAW!G228</f>
        <v>11</v>
      </c>
    </row>
    <row r="229" spans="1:6" x14ac:dyDescent="0.2">
      <c r="A229" t="s">
        <v>330</v>
      </c>
      <c r="B229">
        <f>ChugachRAW!A229</f>
        <v>2018</v>
      </c>
      <c r="C229" t="str">
        <f>ChugachRAW!C229</f>
        <v>Subsistence</v>
      </c>
      <c r="D229" t="str">
        <f>ChugachRAW!D229</f>
        <v>Pink</v>
      </c>
      <c r="E229">
        <f>ChugachRAW!F229</f>
        <v>6.1989000000000001</v>
      </c>
      <c r="F229">
        <f>ChugachRAW!G229</f>
        <v>12.620999999999999</v>
      </c>
    </row>
    <row r="230" spans="1:6" x14ac:dyDescent="0.2">
      <c r="A230" t="s">
        <v>330</v>
      </c>
      <c r="B230">
        <f>ChugachRAW!A230</f>
        <v>2019</v>
      </c>
      <c r="C230" t="str">
        <f>ChugachRAW!C230</f>
        <v>Subsistence</v>
      </c>
      <c r="D230" t="str">
        <f>ChugachRAW!D230</f>
        <v>Pink</v>
      </c>
      <c r="E230">
        <f>ChugachRAW!F230</f>
        <v>1.9813000000000001</v>
      </c>
      <c r="F230">
        <f>ChugachRAW!G230</f>
        <v>3.157</v>
      </c>
    </row>
    <row r="231" spans="1:6" x14ac:dyDescent="0.2">
      <c r="A231" t="s">
        <v>330</v>
      </c>
      <c r="B231">
        <f>ChugachRAW!A231</f>
        <v>2020</v>
      </c>
      <c r="C231" t="str">
        <f>ChugachRAW!C231</f>
        <v>Subsistence</v>
      </c>
      <c r="D231" t="str">
        <f>ChugachRAW!D231</f>
        <v>Pink</v>
      </c>
      <c r="E231">
        <f>ChugachRAW!F231</f>
        <v>22.125299999999999</v>
      </c>
      <c r="F231">
        <f>ChugachRAW!G231</f>
        <v>24.583666666666666</v>
      </c>
    </row>
    <row r="232" spans="1:6" x14ac:dyDescent="0.2">
      <c r="A232" t="s">
        <v>330</v>
      </c>
      <c r="B232">
        <f>ChugachRAW!A232</f>
        <v>2011</v>
      </c>
      <c r="C232" t="str">
        <f>ChugachRAW!C232</f>
        <v>Subsistence</v>
      </c>
      <c r="D232" t="str">
        <f>ChugachRAW!D232</f>
        <v>Chum</v>
      </c>
      <c r="E232">
        <f>ChugachRAW!F232</f>
        <v>28.539733333333334</v>
      </c>
      <c r="F232">
        <f>ChugachRAW!G232</f>
        <v>35.674666666666667</v>
      </c>
    </row>
    <row r="233" spans="1:6" x14ac:dyDescent="0.2">
      <c r="A233" t="s">
        <v>330</v>
      </c>
      <c r="B233">
        <f>ChugachRAW!A233</f>
        <v>2012</v>
      </c>
      <c r="C233" t="str">
        <f>ChugachRAW!C233</f>
        <v>Subsistence</v>
      </c>
      <c r="D233" t="str">
        <f>ChugachRAW!D233</f>
        <v>Chum</v>
      </c>
      <c r="E233">
        <f>ChugachRAW!F233</f>
        <v>20.125600000000002</v>
      </c>
      <c r="F233">
        <f>ChugachRAW!G233</f>
        <v>25.157</v>
      </c>
    </row>
    <row r="234" spans="1:6" x14ac:dyDescent="0.2">
      <c r="A234" t="s">
        <v>330</v>
      </c>
      <c r="B234">
        <f>ChugachRAW!A234</f>
        <v>2013</v>
      </c>
      <c r="C234" t="str">
        <f>ChugachRAW!C234</f>
        <v>Subsistence</v>
      </c>
      <c r="D234" t="str">
        <f>ChugachRAW!D234</f>
        <v>Chum</v>
      </c>
      <c r="E234">
        <f>ChugachRAW!F234</f>
        <v>119.072</v>
      </c>
      <c r="F234">
        <f>ChugachRAW!G234</f>
        <v>148.84</v>
      </c>
    </row>
    <row r="235" spans="1:6" x14ac:dyDescent="0.2">
      <c r="A235" t="s">
        <v>330</v>
      </c>
      <c r="B235">
        <f>ChugachRAW!A235</f>
        <v>2014</v>
      </c>
      <c r="C235" t="str">
        <f>ChugachRAW!C235</f>
        <v>Subsistence</v>
      </c>
      <c r="D235" t="str">
        <f>ChugachRAW!D235</f>
        <v>Chum</v>
      </c>
      <c r="E235">
        <f>ChugachRAW!F235</f>
        <v>0</v>
      </c>
      <c r="F235">
        <f>ChugachRAW!G235</f>
        <v>0</v>
      </c>
    </row>
    <row r="236" spans="1:6" x14ac:dyDescent="0.2">
      <c r="A236" t="s">
        <v>330</v>
      </c>
      <c r="B236">
        <f>ChugachRAW!A236</f>
        <v>2015</v>
      </c>
      <c r="C236" t="str">
        <f>ChugachRAW!C236</f>
        <v>Subsistence</v>
      </c>
      <c r="D236" t="str">
        <f>ChugachRAW!D236</f>
        <v>Chum</v>
      </c>
      <c r="E236">
        <f>ChugachRAW!F236</f>
        <v>8.4391999999999996</v>
      </c>
      <c r="F236">
        <f>ChugachRAW!G236</f>
        <v>10.548999999999999</v>
      </c>
    </row>
    <row r="237" spans="1:6" x14ac:dyDescent="0.2">
      <c r="A237" t="s">
        <v>330</v>
      </c>
      <c r="B237">
        <f>ChugachRAW!A237</f>
        <v>2016</v>
      </c>
      <c r="C237" t="str">
        <f>ChugachRAW!C237</f>
        <v>Subsistence</v>
      </c>
      <c r="D237" t="str">
        <f>ChugachRAW!D237</f>
        <v>Chum</v>
      </c>
      <c r="E237">
        <f>ChugachRAW!F237</f>
        <v>0</v>
      </c>
      <c r="F237">
        <f>ChugachRAW!G237</f>
        <v>0</v>
      </c>
    </row>
    <row r="238" spans="1:6" x14ac:dyDescent="0.2">
      <c r="A238" t="s">
        <v>330</v>
      </c>
      <c r="B238">
        <f>ChugachRAW!A238</f>
        <v>2017</v>
      </c>
      <c r="C238" t="str">
        <f>ChugachRAW!C238</f>
        <v>Subsistence</v>
      </c>
      <c r="D238" t="str">
        <f>ChugachRAW!D238</f>
        <v>Chum</v>
      </c>
      <c r="E238">
        <f>ChugachRAW!F238</f>
        <v>2.6840000000000002</v>
      </c>
      <c r="F238">
        <f>ChugachRAW!G238</f>
        <v>3.355</v>
      </c>
    </row>
    <row r="239" spans="1:6" x14ac:dyDescent="0.2">
      <c r="A239" t="s">
        <v>330</v>
      </c>
      <c r="B239">
        <f>ChugachRAW!A239</f>
        <v>2018</v>
      </c>
      <c r="C239" t="str">
        <f>ChugachRAW!C239</f>
        <v>Subsistence</v>
      </c>
      <c r="D239" t="str">
        <f>ChugachRAW!D239</f>
        <v>Chum</v>
      </c>
      <c r="E239">
        <f>ChugachRAW!F239</f>
        <v>19.738666666666667</v>
      </c>
      <c r="F239">
        <f>ChugachRAW!G239</f>
        <v>24.673333333333328</v>
      </c>
    </row>
    <row r="240" spans="1:6" x14ac:dyDescent="0.2">
      <c r="A240" t="s">
        <v>330</v>
      </c>
      <c r="B240">
        <f>ChugachRAW!A240</f>
        <v>2019</v>
      </c>
      <c r="C240" t="str">
        <f>ChugachRAW!C240</f>
        <v>Subsistence</v>
      </c>
      <c r="D240" t="str">
        <f>ChugachRAW!D240</f>
        <v>Chum</v>
      </c>
      <c r="E240">
        <f>ChugachRAW!F240</f>
        <v>12.019200000000001</v>
      </c>
      <c r="F240">
        <f>ChugachRAW!G240</f>
        <v>15.024000000000001</v>
      </c>
    </row>
    <row r="241" spans="1:6" x14ac:dyDescent="0.2">
      <c r="A241" t="s">
        <v>330</v>
      </c>
      <c r="B241">
        <f>ChugachRAW!A241</f>
        <v>2020</v>
      </c>
      <c r="C241" t="str">
        <f>ChugachRAW!C241</f>
        <v>Subsistence</v>
      </c>
      <c r="D241" t="str">
        <f>ChugachRAW!D241</f>
        <v>Chum</v>
      </c>
      <c r="E241">
        <f>ChugachRAW!F241</f>
        <v>15.807200000000003</v>
      </c>
      <c r="F241">
        <f>ChugachRAW!G241</f>
        <v>19.759</v>
      </c>
    </row>
    <row r="242" spans="1:6" x14ac:dyDescent="0.2">
      <c r="A242" t="s">
        <v>330</v>
      </c>
      <c r="B242">
        <f>ChugachRAW!A242</f>
        <v>2011</v>
      </c>
      <c r="C242" t="str">
        <f>ChugachRAW!C242</f>
        <v>Subsistence</v>
      </c>
      <c r="D242" t="str">
        <f>ChugachRAW!D242</f>
        <v>Chinook</v>
      </c>
      <c r="E242">
        <f>ChugachRAW!F242</f>
        <v>0</v>
      </c>
      <c r="F242">
        <f>ChugachRAW!G242</f>
        <v>0</v>
      </c>
    </row>
    <row r="243" spans="1:6" x14ac:dyDescent="0.2">
      <c r="A243" t="s">
        <v>330</v>
      </c>
      <c r="B243">
        <f>ChugachRAW!A243</f>
        <v>2012</v>
      </c>
      <c r="C243" t="str">
        <f>ChugachRAW!C243</f>
        <v>Subsistence</v>
      </c>
      <c r="D243" t="str">
        <f>ChugachRAW!D243</f>
        <v>Chinook</v>
      </c>
      <c r="E243">
        <f>ChugachRAW!F243</f>
        <v>0</v>
      </c>
      <c r="F243">
        <f>ChugachRAW!G243</f>
        <v>0</v>
      </c>
    </row>
    <row r="244" spans="1:6" x14ac:dyDescent="0.2">
      <c r="A244" t="s">
        <v>330</v>
      </c>
      <c r="B244">
        <f>ChugachRAW!A244</f>
        <v>2013</v>
      </c>
      <c r="C244" t="str">
        <f>ChugachRAW!C244</f>
        <v>Subsistence</v>
      </c>
      <c r="D244" t="str">
        <f>ChugachRAW!D244</f>
        <v>Chinook</v>
      </c>
      <c r="E244">
        <f>ChugachRAW!F244</f>
        <v>0</v>
      </c>
      <c r="F244">
        <f>ChugachRAW!G244</f>
        <v>0</v>
      </c>
    </row>
    <row r="245" spans="1:6" x14ac:dyDescent="0.2">
      <c r="A245" t="s">
        <v>330</v>
      </c>
      <c r="B245">
        <f>ChugachRAW!A245</f>
        <v>2014</v>
      </c>
      <c r="C245" t="str">
        <f>ChugachRAW!C245</f>
        <v>Subsistence</v>
      </c>
      <c r="D245" t="str">
        <f>ChugachRAW!D245</f>
        <v>Chinook</v>
      </c>
      <c r="E245">
        <f>ChugachRAW!F245</f>
        <v>0</v>
      </c>
      <c r="F245">
        <f>ChugachRAW!G245</f>
        <v>0</v>
      </c>
    </row>
    <row r="246" spans="1:6" x14ac:dyDescent="0.2">
      <c r="A246" t="s">
        <v>330</v>
      </c>
      <c r="B246">
        <f>ChugachRAW!A246</f>
        <v>2015</v>
      </c>
      <c r="C246" t="str">
        <f>ChugachRAW!C246</f>
        <v>Subsistence</v>
      </c>
      <c r="D246" t="str">
        <f>ChugachRAW!D246</f>
        <v>Chinook</v>
      </c>
      <c r="E246">
        <f>ChugachRAW!F246</f>
        <v>0</v>
      </c>
      <c r="F246">
        <f>ChugachRAW!G246</f>
        <v>0</v>
      </c>
    </row>
    <row r="247" spans="1:6" x14ac:dyDescent="0.2">
      <c r="A247" t="s">
        <v>330</v>
      </c>
      <c r="B247">
        <f>ChugachRAW!A247</f>
        <v>2016</v>
      </c>
      <c r="C247" t="str">
        <f>ChugachRAW!C247</f>
        <v>Subsistence</v>
      </c>
      <c r="D247" t="str">
        <f>ChugachRAW!D247</f>
        <v>Chinook</v>
      </c>
      <c r="E247">
        <f>ChugachRAW!F247</f>
        <v>0.17</v>
      </c>
      <c r="F247">
        <f>ChugachRAW!G247</f>
        <v>1</v>
      </c>
    </row>
    <row r="248" spans="1:6" x14ac:dyDescent="0.2">
      <c r="A248" t="s">
        <v>330</v>
      </c>
      <c r="B248">
        <f>ChugachRAW!A248</f>
        <v>2017</v>
      </c>
      <c r="C248" t="str">
        <f>ChugachRAW!C248</f>
        <v>Subsistence</v>
      </c>
      <c r="D248" t="str">
        <f>ChugachRAW!D248</f>
        <v>Chinook</v>
      </c>
      <c r="E248">
        <f>ChugachRAW!F248</f>
        <v>0.34</v>
      </c>
      <c r="F248">
        <f>ChugachRAW!G248</f>
        <v>2</v>
      </c>
    </row>
    <row r="249" spans="1:6" x14ac:dyDescent="0.2">
      <c r="A249" t="s">
        <v>330</v>
      </c>
      <c r="B249">
        <f>ChugachRAW!A249</f>
        <v>2018</v>
      </c>
      <c r="C249" t="str">
        <f>ChugachRAW!C249</f>
        <v>Subsistence</v>
      </c>
      <c r="D249" t="str">
        <f>ChugachRAW!D249</f>
        <v>Chinook</v>
      </c>
      <c r="E249">
        <f>ChugachRAW!F249</f>
        <v>0</v>
      </c>
      <c r="F249">
        <f>ChugachRAW!G249</f>
        <v>0</v>
      </c>
    </row>
    <row r="250" spans="1:6" x14ac:dyDescent="0.2">
      <c r="A250" t="s">
        <v>330</v>
      </c>
      <c r="B250">
        <f>ChugachRAW!A250</f>
        <v>2019</v>
      </c>
      <c r="C250" t="str">
        <f>ChugachRAW!C250</f>
        <v>Subsistence</v>
      </c>
      <c r="D250" t="str">
        <f>ChugachRAW!D250</f>
        <v>Chinook</v>
      </c>
      <c r="E250">
        <f>ChugachRAW!F250</f>
        <v>1.87</v>
      </c>
      <c r="F250">
        <f>ChugachRAW!G250</f>
        <v>11</v>
      </c>
    </row>
    <row r="251" spans="1:6" x14ac:dyDescent="0.2">
      <c r="A251" t="s">
        <v>330</v>
      </c>
      <c r="B251">
        <f>ChugachRAW!A251</f>
        <v>2020</v>
      </c>
      <c r="C251" t="str">
        <f>ChugachRAW!C251</f>
        <v>Subsistence</v>
      </c>
      <c r="D251" t="str">
        <f>ChugachRAW!D251</f>
        <v>Chinook</v>
      </c>
      <c r="E251">
        <f>ChugachRAW!F251</f>
        <v>0</v>
      </c>
      <c r="F251">
        <f>ChugachRAW!G251</f>
        <v>0</v>
      </c>
    </row>
    <row r="252" spans="1:6" x14ac:dyDescent="0.2">
      <c r="A252" t="s">
        <v>330</v>
      </c>
      <c r="B252">
        <f>ChugachRAW!A252</f>
        <v>2011</v>
      </c>
      <c r="C252" t="str">
        <f>ChugachRAW!C252</f>
        <v>Personal use</v>
      </c>
      <c r="D252" t="str">
        <f>ChugachRAW!D252</f>
        <v>Sockeye</v>
      </c>
      <c r="E252">
        <f>ChugachRAW!F252</f>
        <v>274260.15000000002</v>
      </c>
      <c r="F252">
        <f>ChugachRAW!G252</f>
        <v>537765</v>
      </c>
    </row>
    <row r="253" spans="1:6" x14ac:dyDescent="0.2">
      <c r="A253" t="s">
        <v>330</v>
      </c>
      <c r="B253">
        <f>ChugachRAW!A253</f>
        <v>2012</v>
      </c>
      <c r="C253" t="str">
        <f>ChugachRAW!C253</f>
        <v>Personal use</v>
      </c>
      <c r="D253" t="str">
        <f>ChugachRAW!D253</f>
        <v>Sockeye</v>
      </c>
      <c r="E253">
        <f>ChugachRAW!F253</f>
        <v>268765.92</v>
      </c>
      <c r="F253">
        <f>ChugachRAW!G253</f>
        <v>526992</v>
      </c>
    </row>
    <row r="254" spans="1:6" x14ac:dyDescent="0.2">
      <c r="A254" t="s">
        <v>330</v>
      </c>
      <c r="B254">
        <f>ChugachRAW!A254</f>
        <v>2013</v>
      </c>
      <c r="C254" t="str">
        <f>ChugachRAW!C254</f>
        <v>Personal use</v>
      </c>
      <c r="D254" t="str">
        <f>ChugachRAW!D254</f>
        <v>Sockeye</v>
      </c>
      <c r="E254">
        <f>ChugachRAW!F254</f>
        <v>177083.22</v>
      </c>
      <c r="F254">
        <f>ChugachRAW!G254</f>
        <v>347222</v>
      </c>
    </row>
    <row r="255" spans="1:6" x14ac:dyDescent="0.2">
      <c r="A255" t="s">
        <v>330</v>
      </c>
      <c r="B255">
        <f>ChugachRAW!A255</f>
        <v>2014</v>
      </c>
      <c r="C255" t="str">
        <f>ChugachRAW!C255</f>
        <v>Personal use</v>
      </c>
      <c r="D255" t="str">
        <f>ChugachRAW!D255</f>
        <v>Sockeye</v>
      </c>
      <c r="E255">
        <f>ChugachRAW!F255</f>
        <v>193709.73</v>
      </c>
      <c r="F255">
        <f>ChugachRAW!G255</f>
        <v>379823</v>
      </c>
    </row>
    <row r="256" spans="1:6" x14ac:dyDescent="0.2">
      <c r="A256" t="s">
        <v>330</v>
      </c>
      <c r="B256">
        <f>ChugachRAW!A256</f>
        <v>2015</v>
      </c>
      <c r="C256" t="str">
        <f>ChugachRAW!C256</f>
        <v>Personal use</v>
      </c>
      <c r="D256" t="str">
        <f>ChugachRAW!D256</f>
        <v>Sockeye</v>
      </c>
      <c r="E256">
        <f>ChugachRAW!F256</f>
        <v>192541.32</v>
      </c>
      <c r="F256">
        <f>ChugachRAW!G256</f>
        <v>377532</v>
      </c>
    </row>
    <row r="257" spans="1:6" x14ac:dyDescent="0.2">
      <c r="A257" t="s">
        <v>330</v>
      </c>
      <c r="B257">
        <f>ChugachRAW!A257</f>
        <v>2016</v>
      </c>
      <c r="C257" t="str">
        <f>ChugachRAW!C257</f>
        <v>Personal use</v>
      </c>
      <c r="D257" t="str">
        <f>ChugachRAW!D257</f>
        <v>Sockeye</v>
      </c>
      <c r="E257">
        <f>ChugachRAW!F257</f>
        <v>132119.07</v>
      </c>
      <c r="F257">
        <f>ChugachRAW!G257</f>
        <v>259057</v>
      </c>
    </row>
    <row r="258" spans="1:6" x14ac:dyDescent="0.2">
      <c r="A258" t="s">
        <v>330</v>
      </c>
      <c r="B258">
        <f>ChugachRAW!A258</f>
        <v>2017</v>
      </c>
      <c r="C258" t="str">
        <f>ChugachRAW!C258</f>
        <v>Personal use</v>
      </c>
      <c r="D258" t="str">
        <f>ChugachRAW!D258</f>
        <v>Sockeye</v>
      </c>
      <c r="E258">
        <f>ChugachRAW!F258</f>
        <v>151494.99</v>
      </c>
      <c r="F258">
        <f>ChugachRAW!G258</f>
        <v>297049</v>
      </c>
    </row>
    <row r="259" spans="1:6" x14ac:dyDescent="0.2">
      <c r="A259" t="s">
        <v>330</v>
      </c>
      <c r="B259">
        <f>ChugachRAW!A259</f>
        <v>2018</v>
      </c>
      <c r="C259" t="str">
        <f>ChugachRAW!C259</f>
        <v>Personal use</v>
      </c>
      <c r="D259" t="str">
        <f>ChugachRAW!D259</f>
        <v>Sockeye</v>
      </c>
      <c r="E259">
        <f>ChugachRAW!F259</f>
        <v>84164.28</v>
      </c>
      <c r="F259">
        <f>ChugachRAW!G259</f>
        <v>165028</v>
      </c>
    </row>
    <row r="260" spans="1:6" x14ac:dyDescent="0.2">
      <c r="A260" t="s">
        <v>330</v>
      </c>
      <c r="B260">
        <f>ChugachRAW!A260</f>
        <v>2019</v>
      </c>
      <c r="C260" t="str">
        <f>ChugachRAW!C260</f>
        <v>Personal use</v>
      </c>
      <c r="D260" t="str">
        <f>ChugachRAW!D260</f>
        <v>Sockeye</v>
      </c>
      <c r="E260">
        <f>ChugachRAW!F260</f>
        <v>169018.08000000002</v>
      </c>
      <c r="F260">
        <f>ChugachRAW!G260</f>
        <v>331408</v>
      </c>
    </row>
    <row r="261" spans="1:6" x14ac:dyDescent="0.2">
      <c r="A261" t="s">
        <v>330</v>
      </c>
      <c r="B261">
        <f>ChugachRAW!A261</f>
        <v>2020</v>
      </c>
      <c r="C261" t="str">
        <f>ChugachRAW!C261</f>
        <v>Personal use</v>
      </c>
      <c r="D261" t="str">
        <f>ChugachRAW!D261</f>
        <v>Sockeye</v>
      </c>
      <c r="E261">
        <f>ChugachRAW!F261</f>
        <v>131510.64000000001</v>
      </c>
      <c r="F261">
        <f>ChugachRAW!G261</f>
        <v>257864</v>
      </c>
    </row>
    <row r="262" spans="1:6" x14ac:dyDescent="0.2">
      <c r="A262" t="s">
        <v>330</v>
      </c>
      <c r="B262">
        <f>ChugachRAW!A262</f>
        <v>2011</v>
      </c>
      <c r="C262" t="str">
        <f>ChugachRAW!C262</f>
        <v>Personal use</v>
      </c>
      <c r="D262" t="str">
        <f>ChugachRAW!D262</f>
        <v>Coho</v>
      </c>
      <c r="E262">
        <f>ChugachRAW!F262</f>
        <v>1043.9000000000001</v>
      </c>
      <c r="F262">
        <f>ChugachRAW!G262</f>
        <v>4745</v>
      </c>
    </row>
    <row r="263" spans="1:6" x14ac:dyDescent="0.2">
      <c r="A263" t="s">
        <v>330</v>
      </c>
      <c r="B263">
        <f>ChugachRAW!A263</f>
        <v>2012</v>
      </c>
      <c r="C263" t="str">
        <f>ChugachRAW!C263</f>
        <v>Personal use</v>
      </c>
      <c r="D263" t="str">
        <f>ChugachRAW!D263</f>
        <v>Coho</v>
      </c>
      <c r="E263">
        <f>ChugachRAW!F263</f>
        <v>881.76</v>
      </c>
      <c r="F263">
        <f>ChugachRAW!G263</f>
        <v>4008</v>
      </c>
    </row>
    <row r="264" spans="1:6" x14ac:dyDescent="0.2">
      <c r="A264" t="s">
        <v>330</v>
      </c>
      <c r="B264">
        <f>ChugachRAW!A264</f>
        <v>2013</v>
      </c>
      <c r="C264" t="str">
        <f>ChugachRAW!C264</f>
        <v>Personal use</v>
      </c>
      <c r="D264" t="str">
        <f>ChugachRAW!D264</f>
        <v>Coho</v>
      </c>
      <c r="E264">
        <f>ChugachRAW!F264</f>
        <v>697.18</v>
      </c>
      <c r="F264">
        <f>ChugachRAW!G264</f>
        <v>3169</v>
      </c>
    </row>
    <row r="265" spans="1:6" x14ac:dyDescent="0.2">
      <c r="A265" t="s">
        <v>330</v>
      </c>
      <c r="B265">
        <f>ChugachRAW!A265</f>
        <v>2014</v>
      </c>
      <c r="C265" t="str">
        <f>ChugachRAW!C265</f>
        <v>Personal use</v>
      </c>
      <c r="D265" t="str">
        <f>ChugachRAW!D265</f>
        <v>Coho</v>
      </c>
      <c r="E265">
        <f>ChugachRAW!F265</f>
        <v>1036.2</v>
      </c>
      <c r="F265">
        <f>ChugachRAW!G265</f>
        <v>4710</v>
      </c>
    </row>
    <row r="266" spans="1:6" x14ac:dyDescent="0.2">
      <c r="A266" t="s">
        <v>330</v>
      </c>
      <c r="B266">
        <f>ChugachRAW!A266</f>
        <v>2015</v>
      </c>
      <c r="C266" t="str">
        <f>ChugachRAW!C266</f>
        <v>Personal use</v>
      </c>
      <c r="D266" t="str">
        <f>ChugachRAW!D266</f>
        <v>Coho</v>
      </c>
      <c r="E266">
        <f>ChugachRAW!F266</f>
        <v>913</v>
      </c>
      <c r="F266">
        <f>ChugachRAW!G266</f>
        <v>4150</v>
      </c>
    </row>
    <row r="267" spans="1:6" x14ac:dyDescent="0.2">
      <c r="A267" t="s">
        <v>330</v>
      </c>
      <c r="B267">
        <f>ChugachRAW!A267</f>
        <v>2016</v>
      </c>
      <c r="C267" t="str">
        <f>ChugachRAW!C267</f>
        <v>Personal use</v>
      </c>
      <c r="D267" t="str">
        <f>ChugachRAW!D267</f>
        <v>Coho</v>
      </c>
      <c r="E267">
        <f>ChugachRAW!F267</f>
        <v>720.94</v>
      </c>
      <c r="F267">
        <f>ChugachRAW!G267</f>
        <v>3277</v>
      </c>
    </row>
    <row r="268" spans="1:6" x14ac:dyDescent="0.2">
      <c r="A268" t="s">
        <v>330</v>
      </c>
      <c r="B268">
        <f>ChugachRAW!A268</f>
        <v>2017</v>
      </c>
      <c r="C268" t="str">
        <f>ChugachRAW!C268</f>
        <v>Personal use</v>
      </c>
      <c r="D268" t="str">
        <f>ChugachRAW!D268</f>
        <v>Coho</v>
      </c>
      <c r="E268">
        <f>ChugachRAW!F268</f>
        <v>161.04</v>
      </c>
      <c r="F268">
        <f>ChugachRAW!G268</f>
        <v>732</v>
      </c>
    </row>
    <row r="269" spans="1:6" x14ac:dyDescent="0.2">
      <c r="A269" t="s">
        <v>330</v>
      </c>
      <c r="B269">
        <f>ChugachRAW!A269</f>
        <v>2018</v>
      </c>
      <c r="C269" t="str">
        <f>ChugachRAW!C269</f>
        <v>Personal use</v>
      </c>
      <c r="D269" t="str">
        <f>ChugachRAW!D269</f>
        <v>Coho</v>
      </c>
      <c r="E269">
        <f>ChugachRAW!F269</f>
        <v>116.38</v>
      </c>
      <c r="F269">
        <f>ChugachRAW!G269</f>
        <v>529</v>
      </c>
    </row>
    <row r="270" spans="1:6" x14ac:dyDescent="0.2">
      <c r="A270" t="s">
        <v>330</v>
      </c>
      <c r="B270">
        <f>ChugachRAW!A270</f>
        <v>2019</v>
      </c>
      <c r="C270" t="str">
        <f>ChugachRAW!C270</f>
        <v>Personal use</v>
      </c>
      <c r="D270" t="str">
        <f>ChugachRAW!D270</f>
        <v>Coho</v>
      </c>
      <c r="E270">
        <f>ChugachRAW!F270</f>
        <v>214.94</v>
      </c>
      <c r="F270">
        <f>ChugachRAW!G270</f>
        <v>977</v>
      </c>
    </row>
    <row r="271" spans="1:6" x14ac:dyDescent="0.2">
      <c r="A271" t="s">
        <v>330</v>
      </c>
      <c r="B271">
        <f>ChugachRAW!A271</f>
        <v>2020</v>
      </c>
      <c r="C271" t="str">
        <f>ChugachRAW!C271</f>
        <v>Personal use</v>
      </c>
      <c r="D271" t="str">
        <f>ChugachRAW!D271</f>
        <v>Coho</v>
      </c>
      <c r="E271">
        <f>ChugachRAW!F271</f>
        <v>225.06</v>
      </c>
      <c r="F271">
        <f>ChugachRAW!G271</f>
        <v>1023</v>
      </c>
    </row>
    <row r="272" spans="1:6" x14ac:dyDescent="0.2">
      <c r="A272" t="s">
        <v>330</v>
      </c>
      <c r="B272">
        <f>ChugachRAW!A272</f>
        <v>2011</v>
      </c>
      <c r="C272" t="str">
        <f>ChugachRAW!C272</f>
        <v>Personal use</v>
      </c>
      <c r="D272" t="str">
        <f>ChugachRAW!D272</f>
        <v>Pink</v>
      </c>
      <c r="E272">
        <f>ChugachRAW!F272</f>
        <v>156.56</v>
      </c>
      <c r="F272">
        <f>ChugachRAW!G272</f>
        <v>3914</v>
      </c>
    </row>
    <row r="273" spans="1:6" x14ac:dyDescent="0.2">
      <c r="A273" t="s">
        <v>330</v>
      </c>
      <c r="B273">
        <f>ChugachRAW!A273</f>
        <v>2012</v>
      </c>
      <c r="C273" t="str">
        <f>ChugachRAW!C273</f>
        <v>Personal use</v>
      </c>
      <c r="D273" t="str">
        <f>ChugachRAW!D273</f>
        <v>Pink</v>
      </c>
      <c r="E273">
        <f>ChugachRAW!F273</f>
        <v>150.80000000000001</v>
      </c>
      <c r="F273">
        <f>ChugachRAW!G273</f>
        <v>3770</v>
      </c>
    </row>
    <row r="274" spans="1:6" x14ac:dyDescent="0.2">
      <c r="A274" t="s">
        <v>330</v>
      </c>
      <c r="B274">
        <f>ChugachRAW!A274</f>
        <v>2013</v>
      </c>
      <c r="C274" t="str">
        <f>ChugachRAW!C274</f>
        <v>Personal use</v>
      </c>
      <c r="D274" t="str">
        <f>ChugachRAW!D274</f>
        <v>Pink</v>
      </c>
      <c r="E274">
        <f>ChugachRAW!F274</f>
        <v>145</v>
      </c>
      <c r="F274">
        <f>ChugachRAW!G274</f>
        <v>3625</v>
      </c>
    </row>
    <row r="275" spans="1:6" x14ac:dyDescent="0.2">
      <c r="A275" t="s">
        <v>330</v>
      </c>
      <c r="B275">
        <f>ChugachRAW!A275</f>
        <v>2014</v>
      </c>
      <c r="C275" t="str">
        <f>ChugachRAW!C275</f>
        <v>Personal use</v>
      </c>
      <c r="D275" t="str">
        <f>ChugachRAW!D275</f>
        <v>Pink</v>
      </c>
      <c r="E275">
        <f>ChugachRAW!F275</f>
        <v>765.6</v>
      </c>
      <c r="F275">
        <f>ChugachRAW!G275</f>
        <v>19140</v>
      </c>
    </row>
    <row r="276" spans="1:6" x14ac:dyDescent="0.2">
      <c r="A276" t="s">
        <v>330</v>
      </c>
      <c r="B276">
        <f>ChugachRAW!A276</f>
        <v>2015</v>
      </c>
      <c r="C276" t="str">
        <f>ChugachRAW!C276</f>
        <v>Personal use</v>
      </c>
      <c r="D276" t="str">
        <f>ChugachRAW!D276</f>
        <v>Pink</v>
      </c>
      <c r="E276">
        <f>ChugachRAW!F276</f>
        <v>165.88</v>
      </c>
      <c r="F276">
        <f>ChugachRAW!G276</f>
        <v>4147</v>
      </c>
    </row>
    <row r="277" spans="1:6" x14ac:dyDescent="0.2">
      <c r="A277" t="s">
        <v>330</v>
      </c>
      <c r="B277">
        <f>ChugachRAW!A277</f>
        <v>2016</v>
      </c>
      <c r="C277" t="str">
        <f>ChugachRAW!C277</f>
        <v>Personal use</v>
      </c>
      <c r="D277" t="str">
        <f>ChugachRAW!D277</f>
        <v>Pink</v>
      </c>
      <c r="E277">
        <f>ChugachRAW!F277</f>
        <v>313.36</v>
      </c>
      <c r="F277">
        <f>ChugachRAW!G277</f>
        <v>7834</v>
      </c>
    </row>
    <row r="278" spans="1:6" x14ac:dyDescent="0.2">
      <c r="A278" t="s">
        <v>330</v>
      </c>
      <c r="B278">
        <f>ChugachRAW!A278</f>
        <v>2017</v>
      </c>
      <c r="C278" t="str">
        <f>ChugachRAW!C278</f>
        <v>Personal use</v>
      </c>
      <c r="D278" t="str">
        <f>ChugachRAW!D278</f>
        <v>Pink</v>
      </c>
      <c r="E278">
        <f>ChugachRAW!F278</f>
        <v>318.48</v>
      </c>
      <c r="F278">
        <f>ChugachRAW!G278</f>
        <v>7962</v>
      </c>
    </row>
    <row r="279" spans="1:6" x14ac:dyDescent="0.2">
      <c r="A279" t="s">
        <v>330</v>
      </c>
      <c r="B279">
        <f>ChugachRAW!A279</f>
        <v>2018</v>
      </c>
      <c r="C279" t="str">
        <f>ChugachRAW!C279</f>
        <v>Personal use</v>
      </c>
      <c r="D279" t="str">
        <f>ChugachRAW!D279</f>
        <v>Pink</v>
      </c>
      <c r="E279">
        <f>ChugachRAW!F279</f>
        <v>417.40000000000003</v>
      </c>
      <c r="F279">
        <f>ChugachRAW!G279</f>
        <v>10435</v>
      </c>
    </row>
    <row r="280" spans="1:6" x14ac:dyDescent="0.2">
      <c r="A280" t="s">
        <v>330</v>
      </c>
      <c r="B280">
        <f>ChugachRAW!A280</f>
        <v>2019</v>
      </c>
      <c r="C280" t="str">
        <f>ChugachRAW!C280</f>
        <v>Personal use</v>
      </c>
      <c r="D280" t="str">
        <f>ChugachRAW!D280</f>
        <v>Pink</v>
      </c>
      <c r="E280">
        <f>ChugachRAW!F280</f>
        <v>185.24</v>
      </c>
      <c r="F280">
        <f>ChugachRAW!G280</f>
        <v>4631</v>
      </c>
    </row>
    <row r="281" spans="1:6" x14ac:dyDescent="0.2">
      <c r="A281" t="s">
        <v>330</v>
      </c>
      <c r="B281">
        <f>ChugachRAW!A281</f>
        <v>2020</v>
      </c>
      <c r="C281" t="str">
        <f>ChugachRAW!C281</f>
        <v>Personal use</v>
      </c>
      <c r="D281" t="str">
        <f>ChugachRAW!D281</f>
        <v>Pink</v>
      </c>
      <c r="E281">
        <f>ChugachRAW!F281</f>
        <v>544.88</v>
      </c>
      <c r="F281">
        <f>ChugachRAW!G281</f>
        <v>13622</v>
      </c>
    </row>
    <row r="282" spans="1:6" x14ac:dyDescent="0.2">
      <c r="A282" t="s">
        <v>330</v>
      </c>
      <c r="B282">
        <f>ChugachRAW!A282</f>
        <v>2011</v>
      </c>
      <c r="C282" t="str">
        <f>ChugachRAW!C282</f>
        <v>Personal use</v>
      </c>
      <c r="D282" t="str">
        <f>ChugachRAW!D282</f>
        <v>Chum</v>
      </c>
      <c r="E282">
        <f>ChugachRAW!F282</f>
        <v>0</v>
      </c>
      <c r="F282">
        <f>ChugachRAW!G282</f>
        <v>0</v>
      </c>
    </row>
    <row r="283" spans="1:6" x14ac:dyDescent="0.2">
      <c r="A283" t="s">
        <v>330</v>
      </c>
      <c r="B283">
        <f>ChugachRAW!A283</f>
        <v>2012</v>
      </c>
      <c r="C283" t="str">
        <f>ChugachRAW!C283</f>
        <v>Personal use</v>
      </c>
      <c r="D283" t="str">
        <f>ChugachRAW!D283</f>
        <v>Chum</v>
      </c>
      <c r="E283">
        <f>ChugachRAW!F283</f>
        <v>0</v>
      </c>
      <c r="F283">
        <f>ChugachRAW!G283</f>
        <v>0</v>
      </c>
    </row>
    <row r="284" spans="1:6" x14ac:dyDescent="0.2">
      <c r="A284" t="s">
        <v>330</v>
      </c>
      <c r="B284">
        <f>ChugachRAW!A284</f>
        <v>2013</v>
      </c>
      <c r="C284" t="str">
        <f>ChugachRAW!C284</f>
        <v>Personal use</v>
      </c>
      <c r="D284" t="str">
        <f>ChugachRAW!D284</f>
        <v>Chum</v>
      </c>
      <c r="E284">
        <f>ChugachRAW!F284</f>
        <v>0</v>
      </c>
      <c r="F284">
        <f>ChugachRAW!G284</f>
        <v>0</v>
      </c>
    </row>
    <row r="285" spans="1:6" x14ac:dyDescent="0.2">
      <c r="A285" t="s">
        <v>330</v>
      </c>
      <c r="B285">
        <f>ChugachRAW!A285</f>
        <v>2014</v>
      </c>
      <c r="C285" t="str">
        <f>ChugachRAW!C285</f>
        <v>Personal use</v>
      </c>
      <c r="D285" t="str">
        <f>ChugachRAW!D285</f>
        <v>Chum</v>
      </c>
      <c r="E285">
        <f>ChugachRAW!F285</f>
        <v>0</v>
      </c>
      <c r="F285">
        <f>ChugachRAW!G285</f>
        <v>0</v>
      </c>
    </row>
    <row r="286" spans="1:6" x14ac:dyDescent="0.2">
      <c r="A286" t="s">
        <v>330</v>
      </c>
      <c r="B286">
        <f>ChugachRAW!A286</f>
        <v>2015</v>
      </c>
      <c r="C286" t="str">
        <f>ChugachRAW!C286</f>
        <v>Personal use</v>
      </c>
      <c r="D286" t="str">
        <f>ChugachRAW!D286</f>
        <v>Chum</v>
      </c>
      <c r="E286">
        <f>ChugachRAW!F286</f>
        <v>0</v>
      </c>
      <c r="F286">
        <f>ChugachRAW!G286</f>
        <v>0</v>
      </c>
    </row>
    <row r="287" spans="1:6" x14ac:dyDescent="0.2">
      <c r="A287" t="s">
        <v>330</v>
      </c>
      <c r="B287">
        <f>ChugachRAW!A287</f>
        <v>2016</v>
      </c>
      <c r="C287" t="str">
        <f>ChugachRAW!C287</f>
        <v>Personal use</v>
      </c>
      <c r="D287" t="str">
        <f>ChugachRAW!D287</f>
        <v>Chum</v>
      </c>
      <c r="E287">
        <f>ChugachRAW!F287</f>
        <v>0</v>
      </c>
      <c r="F287">
        <f>ChugachRAW!G287</f>
        <v>0</v>
      </c>
    </row>
    <row r="288" spans="1:6" x14ac:dyDescent="0.2">
      <c r="A288" t="s">
        <v>330</v>
      </c>
      <c r="B288">
        <f>ChugachRAW!A288</f>
        <v>2017</v>
      </c>
      <c r="C288" t="str">
        <f>ChugachRAW!C288</f>
        <v>Personal use</v>
      </c>
      <c r="D288" t="str">
        <f>ChugachRAW!D288</f>
        <v>Chum</v>
      </c>
      <c r="E288">
        <f>ChugachRAW!F288</f>
        <v>0</v>
      </c>
      <c r="F288">
        <f>ChugachRAW!G288</f>
        <v>0</v>
      </c>
    </row>
    <row r="289" spans="1:6" x14ac:dyDescent="0.2">
      <c r="A289" t="s">
        <v>330</v>
      </c>
      <c r="B289">
        <f>ChugachRAW!A289</f>
        <v>2018</v>
      </c>
      <c r="C289" t="str">
        <f>ChugachRAW!C289</f>
        <v>Personal use</v>
      </c>
      <c r="D289" t="str">
        <f>ChugachRAW!D289</f>
        <v>Chum</v>
      </c>
      <c r="E289">
        <f>ChugachRAW!F289</f>
        <v>0</v>
      </c>
      <c r="F289">
        <f>ChugachRAW!G289</f>
        <v>0</v>
      </c>
    </row>
    <row r="290" spans="1:6" x14ac:dyDescent="0.2">
      <c r="A290" t="s">
        <v>330</v>
      </c>
      <c r="B290">
        <f>ChugachRAW!A290</f>
        <v>2019</v>
      </c>
      <c r="C290" t="str">
        <f>ChugachRAW!C290</f>
        <v>Personal use</v>
      </c>
      <c r="D290" t="str">
        <f>ChugachRAW!D290</f>
        <v>Chum</v>
      </c>
      <c r="E290">
        <f>ChugachRAW!F290</f>
        <v>0</v>
      </c>
      <c r="F290">
        <f>ChugachRAW!G290</f>
        <v>0</v>
      </c>
    </row>
    <row r="291" spans="1:6" x14ac:dyDescent="0.2">
      <c r="A291" t="s">
        <v>330</v>
      </c>
      <c r="B291">
        <f>ChugachRAW!A291</f>
        <v>2020</v>
      </c>
      <c r="C291" t="str">
        <f>ChugachRAW!C291</f>
        <v>Personal use</v>
      </c>
      <c r="D291" t="str">
        <f>ChugachRAW!D291</f>
        <v>Chum</v>
      </c>
      <c r="E291">
        <f>ChugachRAW!F291</f>
        <v>0</v>
      </c>
      <c r="F291">
        <f>ChugachRAW!G291</f>
        <v>0</v>
      </c>
    </row>
    <row r="292" spans="1:6" x14ac:dyDescent="0.2">
      <c r="A292" t="s">
        <v>330</v>
      </c>
      <c r="B292">
        <f>ChugachRAW!A292</f>
        <v>2011</v>
      </c>
      <c r="C292" t="str">
        <f>ChugachRAW!C292</f>
        <v>Personal use</v>
      </c>
      <c r="D292" t="str">
        <f>ChugachRAW!D292</f>
        <v>Chinook</v>
      </c>
      <c r="E292">
        <f>ChugachRAW!F292</f>
        <v>211.31</v>
      </c>
      <c r="F292">
        <f>ChugachRAW!G292</f>
        <v>1243</v>
      </c>
    </row>
    <row r="293" spans="1:6" x14ac:dyDescent="0.2">
      <c r="A293" t="s">
        <v>330</v>
      </c>
      <c r="B293">
        <f>ChugachRAW!A293</f>
        <v>2012</v>
      </c>
      <c r="C293" t="str">
        <f>ChugachRAW!C293</f>
        <v>Personal use</v>
      </c>
      <c r="D293" t="str">
        <f>ChugachRAW!D293</f>
        <v>Chinook</v>
      </c>
      <c r="E293">
        <f>ChugachRAW!F293</f>
        <v>6.8000000000000007</v>
      </c>
      <c r="F293">
        <f>ChugachRAW!G293</f>
        <v>40</v>
      </c>
    </row>
    <row r="294" spans="1:6" x14ac:dyDescent="0.2">
      <c r="A294" t="s">
        <v>330</v>
      </c>
      <c r="B294">
        <f>ChugachRAW!A294</f>
        <v>2013</v>
      </c>
      <c r="C294" t="str">
        <f>ChugachRAW!C294</f>
        <v>Personal use</v>
      </c>
      <c r="D294" t="str">
        <f>ChugachRAW!D294</f>
        <v>Chinook</v>
      </c>
      <c r="E294">
        <f>ChugachRAW!F294</f>
        <v>1.87</v>
      </c>
      <c r="F294">
        <f>ChugachRAW!G294</f>
        <v>11</v>
      </c>
    </row>
    <row r="295" spans="1:6" x14ac:dyDescent="0.2">
      <c r="A295" t="s">
        <v>330</v>
      </c>
      <c r="B295">
        <f>ChugachRAW!A295</f>
        <v>2014</v>
      </c>
      <c r="C295" t="str">
        <f>ChugachRAW!C295</f>
        <v>Personal use</v>
      </c>
      <c r="D295" t="str">
        <f>ChugachRAW!D295</f>
        <v>Chinook</v>
      </c>
      <c r="E295">
        <f>ChugachRAW!F295</f>
        <v>0</v>
      </c>
      <c r="F295">
        <f>ChugachRAW!G295</f>
        <v>0</v>
      </c>
    </row>
    <row r="296" spans="1:6" x14ac:dyDescent="0.2">
      <c r="A296" t="s">
        <v>330</v>
      </c>
      <c r="B296">
        <f>ChugachRAW!A296</f>
        <v>2015</v>
      </c>
      <c r="C296" t="str">
        <f>ChugachRAW!C296</f>
        <v>Personal use</v>
      </c>
      <c r="D296" t="str">
        <f>ChugachRAW!D296</f>
        <v>Chinook</v>
      </c>
      <c r="E296">
        <f>ChugachRAW!F296</f>
        <v>11.22</v>
      </c>
      <c r="F296">
        <f>ChugachRAW!G296</f>
        <v>66</v>
      </c>
    </row>
    <row r="297" spans="1:6" x14ac:dyDescent="0.2">
      <c r="A297" t="s">
        <v>330</v>
      </c>
      <c r="B297">
        <f>ChugachRAW!A297</f>
        <v>2016</v>
      </c>
      <c r="C297" t="str">
        <f>ChugachRAW!C297</f>
        <v>Personal use</v>
      </c>
      <c r="D297" t="str">
        <f>ChugachRAW!D297</f>
        <v>Chinook</v>
      </c>
      <c r="E297">
        <f>ChugachRAW!F297</f>
        <v>108.46000000000001</v>
      </c>
      <c r="F297">
        <f>ChugachRAW!G297</f>
        <v>638</v>
      </c>
    </row>
    <row r="298" spans="1:6" x14ac:dyDescent="0.2">
      <c r="A298" t="s">
        <v>330</v>
      </c>
      <c r="B298">
        <f>ChugachRAW!A298</f>
        <v>2017</v>
      </c>
      <c r="C298" t="str">
        <f>ChugachRAW!C298</f>
        <v>Personal use</v>
      </c>
      <c r="D298" t="str">
        <f>ChugachRAW!D298</f>
        <v>Chinook</v>
      </c>
      <c r="E298">
        <f>ChugachRAW!F298</f>
        <v>202.98000000000002</v>
      </c>
      <c r="F298">
        <f>ChugachRAW!G298</f>
        <v>1194</v>
      </c>
    </row>
    <row r="299" spans="1:6" x14ac:dyDescent="0.2">
      <c r="A299" t="s">
        <v>330</v>
      </c>
      <c r="B299">
        <f>ChugachRAW!A299</f>
        <v>2018</v>
      </c>
      <c r="C299" t="str">
        <f>ChugachRAW!C299</f>
        <v>Personal use</v>
      </c>
      <c r="D299" t="str">
        <f>ChugachRAW!D299</f>
        <v>Chinook</v>
      </c>
      <c r="E299">
        <f>ChugachRAW!F299</f>
        <v>1.1900000000000002</v>
      </c>
      <c r="F299">
        <f>ChugachRAW!G299</f>
        <v>7</v>
      </c>
    </row>
    <row r="300" spans="1:6" x14ac:dyDescent="0.2">
      <c r="A300" t="s">
        <v>330</v>
      </c>
      <c r="B300">
        <f>ChugachRAW!A300</f>
        <v>2019</v>
      </c>
      <c r="C300" t="str">
        <f>ChugachRAW!C300</f>
        <v>Personal use</v>
      </c>
      <c r="D300" t="str">
        <f>ChugachRAW!D300</f>
        <v>Chinook</v>
      </c>
      <c r="E300">
        <f>ChugachRAW!F300</f>
        <v>5.1000000000000005</v>
      </c>
      <c r="F300">
        <f>ChugachRAW!G300</f>
        <v>30</v>
      </c>
    </row>
    <row r="301" spans="1:6" x14ac:dyDescent="0.2">
      <c r="A301" t="s">
        <v>330</v>
      </c>
      <c r="B301">
        <f>ChugachRAW!A301</f>
        <v>2020</v>
      </c>
      <c r="C301" t="str">
        <f>ChugachRAW!C301</f>
        <v>Personal use</v>
      </c>
      <c r="D301" t="str">
        <f>ChugachRAW!D301</f>
        <v>Chinook</v>
      </c>
      <c r="E301">
        <f>ChugachRAW!F301</f>
        <v>3.91</v>
      </c>
      <c r="F301">
        <f>ChugachRAW!G301</f>
        <v>23</v>
      </c>
    </row>
    <row r="302" spans="1:6" x14ac:dyDescent="0.2">
      <c r="A302" t="s">
        <v>330</v>
      </c>
      <c r="B302">
        <f>ChugachRAW!A302</f>
        <v>0</v>
      </c>
      <c r="C302">
        <f>ChugachRAW!C302</f>
        <v>0</v>
      </c>
      <c r="D302">
        <f>ChugachRAW!D302</f>
        <v>0</v>
      </c>
      <c r="E302">
        <f>ChugachRAW!F302</f>
        <v>0</v>
      </c>
      <c r="F302">
        <f>ChugachRAW!G302</f>
        <v>0</v>
      </c>
    </row>
    <row r="303" spans="1:6" x14ac:dyDescent="0.2">
      <c r="A303" t="s">
        <v>330</v>
      </c>
      <c r="B303">
        <f>ChugachRAW!A303</f>
        <v>0</v>
      </c>
      <c r="C303">
        <f>ChugachRAW!C303</f>
        <v>0</v>
      </c>
      <c r="D303">
        <f>ChugachRAW!D303</f>
        <v>0</v>
      </c>
      <c r="E303">
        <f>ChugachRAW!F303</f>
        <v>0</v>
      </c>
      <c r="F303">
        <f>ChugachRAW!G303</f>
        <v>0</v>
      </c>
    </row>
    <row r="304" spans="1:6" x14ac:dyDescent="0.2">
      <c r="A304" t="s">
        <v>330</v>
      </c>
      <c r="B304">
        <f>ChugachRAW!A304</f>
        <v>0</v>
      </c>
      <c r="C304">
        <f>ChugachRAW!C304</f>
        <v>0</v>
      </c>
      <c r="D304">
        <f>ChugachRAW!D304</f>
        <v>0</v>
      </c>
      <c r="E304">
        <f>ChugachRAW!F304</f>
        <v>0</v>
      </c>
      <c r="F304">
        <f>ChugachRAW!G304</f>
        <v>0</v>
      </c>
    </row>
    <row r="305" spans="1:6" x14ac:dyDescent="0.2">
      <c r="A305" t="s">
        <v>330</v>
      </c>
      <c r="B305">
        <f>ChugachRAW!A305</f>
        <v>0</v>
      </c>
      <c r="C305">
        <f>ChugachRAW!C305</f>
        <v>0</v>
      </c>
      <c r="D305">
        <f>ChugachRAW!D305</f>
        <v>0</v>
      </c>
      <c r="E305">
        <f>ChugachRAW!F305</f>
        <v>0</v>
      </c>
      <c r="F305">
        <f>ChugachRAW!G305</f>
        <v>0</v>
      </c>
    </row>
    <row r="306" spans="1:6" x14ac:dyDescent="0.2">
      <c r="A306" t="s">
        <v>330</v>
      </c>
      <c r="B306">
        <f>ChugachRAW!A306</f>
        <v>0</v>
      </c>
      <c r="C306">
        <f>ChugachRAW!C306</f>
        <v>0</v>
      </c>
      <c r="D306">
        <f>ChugachRAW!D306</f>
        <v>0</v>
      </c>
      <c r="E306">
        <f>ChugachRAW!F306</f>
        <v>0</v>
      </c>
      <c r="F306">
        <f>ChugachRAW!G306</f>
        <v>0</v>
      </c>
    </row>
    <row r="307" spans="1:6" x14ac:dyDescent="0.2">
      <c r="A307" t="s">
        <v>330</v>
      </c>
      <c r="B307">
        <f>ChugachRAW!A307</f>
        <v>0</v>
      </c>
      <c r="C307">
        <f>ChugachRAW!C307</f>
        <v>0</v>
      </c>
      <c r="D307">
        <f>ChugachRAW!D307</f>
        <v>0</v>
      </c>
      <c r="E307">
        <f>ChugachRAW!F307</f>
        <v>0</v>
      </c>
      <c r="F307">
        <f>ChugachRAW!G307</f>
        <v>0</v>
      </c>
    </row>
    <row r="308" spans="1:6" x14ac:dyDescent="0.2">
      <c r="A308" t="s">
        <v>330</v>
      </c>
      <c r="B308">
        <f>ChugachRAW!A308</f>
        <v>0</v>
      </c>
      <c r="C308">
        <f>ChugachRAW!C308</f>
        <v>0</v>
      </c>
      <c r="D308">
        <f>ChugachRAW!D308</f>
        <v>0</v>
      </c>
      <c r="E308">
        <f>ChugachRAW!F308</f>
        <v>0</v>
      </c>
      <c r="F308">
        <f>ChugachRAW!G308</f>
        <v>0</v>
      </c>
    </row>
    <row r="309" spans="1:6" x14ac:dyDescent="0.2">
      <c r="A309" t="s">
        <v>330</v>
      </c>
      <c r="B309">
        <f>ChugachRAW!A309</f>
        <v>0</v>
      </c>
      <c r="C309">
        <f>ChugachRAW!C309</f>
        <v>0</v>
      </c>
      <c r="D309">
        <f>ChugachRAW!D309</f>
        <v>0</v>
      </c>
      <c r="E309">
        <f>ChugachRAW!F309</f>
        <v>0</v>
      </c>
      <c r="F309">
        <f>ChugachRAW!G309</f>
        <v>0</v>
      </c>
    </row>
    <row r="310" spans="1:6" x14ac:dyDescent="0.2">
      <c r="A310" t="s">
        <v>330</v>
      </c>
      <c r="B310">
        <f>ChugachRAW!A310</f>
        <v>0</v>
      </c>
      <c r="C310">
        <f>ChugachRAW!C310</f>
        <v>0</v>
      </c>
      <c r="D310">
        <f>ChugachRAW!D310</f>
        <v>0</v>
      </c>
      <c r="E310">
        <f>ChugachRAW!F310</f>
        <v>0</v>
      </c>
      <c r="F310">
        <f>ChugachRAW!G310</f>
        <v>0</v>
      </c>
    </row>
    <row r="311" spans="1:6" x14ac:dyDescent="0.2">
      <c r="A311" t="s">
        <v>330</v>
      </c>
      <c r="B311">
        <f>ChugachRAW!A311</f>
        <v>0</v>
      </c>
      <c r="C311">
        <f>ChugachRAW!C311</f>
        <v>0</v>
      </c>
      <c r="D311">
        <f>ChugachRAW!D311</f>
        <v>0</v>
      </c>
      <c r="E311">
        <f>ChugachRAW!F311</f>
        <v>0</v>
      </c>
      <c r="F311">
        <f>ChugachRAW!G311</f>
        <v>0</v>
      </c>
    </row>
    <row r="312" spans="1:6" x14ac:dyDescent="0.2">
      <c r="A312" t="s">
        <v>330</v>
      </c>
      <c r="B312">
        <f>ChugachRAW!A312</f>
        <v>0</v>
      </c>
      <c r="C312">
        <f>ChugachRAW!C312</f>
        <v>0</v>
      </c>
      <c r="D312">
        <f>ChugachRAW!D312</f>
        <v>0</v>
      </c>
      <c r="E312">
        <f>ChugachRAW!F312</f>
        <v>0</v>
      </c>
      <c r="F312">
        <f>ChugachRAW!G312</f>
        <v>0</v>
      </c>
    </row>
    <row r="313" spans="1:6" x14ac:dyDescent="0.2">
      <c r="A313" t="s">
        <v>330</v>
      </c>
      <c r="B313">
        <f>ChugachRAW!A313</f>
        <v>0</v>
      </c>
      <c r="C313">
        <f>ChugachRAW!C313</f>
        <v>0</v>
      </c>
      <c r="D313">
        <f>ChugachRAW!D313</f>
        <v>0</v>
      </c>
      <c r="E313">
        <f>ChugachRAW!F313</f>
        <v>0</v>
      </c>
      <c r="F313">
        <f>ChugachRAW!G313</f>
        <v>0</v>
      </c>
    </row>
    <row r="314" spans="1:6" x14ac:dyDescent="0.2">
      <c r="A314" t="s">
        <v>330</v>
      </c>
      <c r="B314">
        <f>ChugachRAW!A314</f>
        <v>0</v>
      </c>
      <c r="C314">
        <f>ChugachRAW!C314</f>
        <v>0</v>
      </c>
      <c r="D314">
        <f>ChugachRAW!D314</f>
        <v>0</v>
      </c>
      <c r="E314">
        <f>ChugachRAW!F314</f>
        <v>0</v>
      </c>
      <c r="F314">
        <f>ChugachRAW!G314</f>
        <v>0</v>
      </c>
    </row>
    <row r="315" spans="1:6" x14ac:dyDescent="0.2">
      <c r="A315" t="s">
        <v>330</v>
      </c>
      <c r="B315">
        <f>ChugachRAW!A315</f>
        <v>0</v>
      </c>
      <c r="C315">
        <f>ChugachRAW!C315</f>
        <v>0</v>
      </c>
      <c r="D315">
        <f>ChugachRAW!D315</f>
        <v>0</v>
      </c>
      <c r="E315">
        <f>ChugachRAW!F315</f>
        <v>0</v>
      </c>
      <c r="F315">
        <f>ChugachRAW!G315</f>
        <v>0</v>
      </c>
    </row>
    <row r="316" spans="1:6" x14ac:dyDescent="0.2">
      <c r="A316" t="s">
        <v>330</v>
      </c>
      <c r="B316">
        <f>ChugachRAW!A316</f>
        <v>0</v>
      </c>
      <c r="C316">
        <f>ChugachRAW!C316</f>
        <v>0</v>
      </c>
      <c r="D316">
        <f>ChugachRAW!D316</f>
        <v>0</v>
      </c>
      <c r="E316">
        <f>ChugachRAW!F316</f>
        <v>0</v>
      </c>
      <c r="F316">
        <f>ChugachRAW!G316</f>
        <v>0</v>
      </c>
    </row>
    <row r="317" spans="1:6" x14ac:dyDescent="0.2">
      <c r="A317" t="s">
        <v>330</v>
      </c>
      <c r="B317">
        <f>ChugachRAW!A317</f>
        <v>0</v>
      </c>
      <c r="C317">
        <f>ChugachRAW!C317</f>
        <v>0</v>
      </c>
      <c r="D317">
        <f>ChugachRAW!D317</f>
        <v>0</v>
      </c>
      <c r="E317">
        <f>ChugachRAW!F317</f>
        <v>0</v>
      </c>
      <c r="F317">
        <f>ChugachRAW!G317</f>
        <v>0</v>
      </c>
    </row>
    <row r="318" spans="1:6" x14ac:dyDescent="0.2">
      <c r="A318" t="s">
        <v>330</v>
      </c>
      <c r="B318">
        <f>ChugachRAW!A318</f>
        <v>0</v>
      </c>
      <c r="C318">
        <f>ChugachRAW!C318</f>
        <v>0</v>
      </c>
      <c r="D318">
        <f>ChugachRAW!D318</f>
        <v>0</v>
      </c>
      <c r="E318">
        <f>ChugachRAW!F318</f>
        <v>0</v>
      </c>
      <c r="F318">
        <f>ChugachRAW!G318</f>
        <v>0</v>
      </c>
    </row>
    <row r="319" spans="1:6" x14ac:dyDescent="0.2">
      <c r="A319" t="s">
        <v>330</v>
      </c>
      <c r="B319">
        <f>ChugachRAW!A319</f>
        <v>0</v>
      </c>
      <c r="C319">
        <f>ChugachRAW!C319</f>
        <v>0</v>
      </c>
      <c r="D319">
        <f>ChugachRAW!D319</f>
        <v>0</v>
      </c>
      <c r="E319">
        <f>ChugachRAW!F319</f>
        <v>0</v>
      </c>
      <c r="F319">
        <f>ChugachRAW!G319</f>
        <v>0</v>
      </c>
    </row>
    <row r="320" spans="1:6" x14ac:dyDescent="0.2">
      <c r="A320" t="s">
        <v>330</v>
      </c>
      <c r="B320">
        <f>ChugachRAW!A320</f>
        <v>0</v>
      </c>
      <c r="C320">
        <f>ChugachRAW!C320</f>
        <v>0</v>
      </c>
      <c r="D320">
        <f>ChugachRAW!D320</f>
        <v>0</v>
      </c>
      <c r="E320">
        <f>ChugachRAW!F320</f>
        <v>0</v>
      </c>
      <c r="F320">
        <f>ChugachRAW!G320</f>
        <v>0</v>
      </c>
    </row>
    <row r="321" spans="1:6" x14ac:dyDescent="0.2">
      <c r="A321" t="s">
        <v>330</v>
      </c>
      <c r="B321">
        <f>ChugachRAW!A321</f>
        <v>0</v>
      </c>
      <c r="C321">
        <f>ChugachRAW!C321</f>
        <v>0</v>
      </c>
      <c r="D321">
        <f>ChugachRAW!D321</f>
        <v>0</v>
      </c>
      <c r="E321">
        <f>ChugachRAW!F321</f>
        <v>0</v>
      </c>
      <c r="F321">
        <f>ChugachRAW!G321</f>
        <v>0</v>
      </c>
    </row>
    <row r="322" spans="1:6" x14ac:dyDescent="0.2">
      <c r="A322" t="s">
        <v>330</v>
      </c>
      <c r="B322">
        <f>ChugachRAW!A322</f>
        <v>0</v>
      </c>
      <c r="C322">
        <f>ChugachRAW!C322</f>
        <v>0</v>
      </c>
      <c r="D322">
        <f>ChugachRAW!D322</f>
        <v>0</v>
      </c>
      <c r="E322">
        <f>ChugachRAW!F322</f>
        <v>0</v>
      </c>
      <c r="F322">
        <f>ChugachRAW!G322</f>
        <v>0</v>
      </c>
    </row>
    <row r="323" spans="1:6" x14ac:dyDescent="0.2">
      <c r="A323" t="s">
        <v>330</v>
      </c>
      <c r="B323">
        <f>ChugachRAW!A323</f>
        <v>0</v>
      </c>
      <c r="C323">
        <f>ChugachRAW!C323</f>
        <v>0</v>
      </c>
      <c r="D323">
        <f>ChugachRAW!D323</f>
        <v>0</v>
      </c>
      <c r="E323">
        <f>ChugachRAW!F323</f>
        <v>0</v>
      </c>
      <c r="F323">
        <f>ChugachRAW!G323</f>
        <v>0</v>
      </c>
    </row>
    <row r="324" spans="1:6" x14ac:dyDescent="0.2">
      <c r="A324" t="s">
        <v>330</v>
      </c>
      <c r="B324">
        <f>ChugachRAW!A324</f>
        <v>0</v>
      </c>
      <c r="C324">
        <f>ChugachRAW!C324</f>
        <v>0</v>
      </c>
      <c r="D324">
        <f>ChugachRAW!D324</f>
        <v>0</v>
      </c>
      <c r="E324">
        <f>ChugachRAW!F324</f>
        <v>0</v>
      </c>
      <c r="F324">
        <f>ChugachRAW!G324</f>
        <v>0</v>
      </c>
    </row>
    <row r="325" spans="1:6" x14ac:dyDescent="0.2">
      <c r="A325" t="s">
        <v>330</v>
      </c>
      <c r="B325">
        <f>ChugachRAW!A325</f>
        <v>0</v>
      </c>
      <c r="C325">
        <f>ChugachRAW!C325</f>
        <v>0</v>
      </c>
      <c r="D325">
        <f>ChugachRAW!D325</f>
        <v>0</v>
      </c>
      <c r="E325">
        <f>ChugachRAW!F325</f>
        <v>0</v>
      </c>
      <c r="F325">
        <f>ChugachRAW!G325</f>
        <v>0</v>
      </c>
    </row>
    <row r="326" spans="1:6" x14ac:dyDescent="0.2">
      <c r="A326" t="s">
        <v>330</v>
      </c>
      <c r="B326">
        <f>ChugachRAW!A326</f>
        <v>0</v>
      </c>
      <c r="C326">
        <f>ChugachRAW!C326</f>
        <v>0</v>
      </c>
      <c r="D326">
        <f>ChugachRAW!D326</f>
        <v>0</v>
      </c>
      <c r="E326">
        <f>ChugachRAW!F326</f>
        <v>0</v>
      </c>
      <c r="F326">
        <f>ChugachRAW!G326</f>
        <v>0</v>
      </c>
    </row>
    <row r="327" spans="1:6" x14ac:dyDescent="0.2">
      <c r="A327" t="s">
        <v>330</v>
      </c>
      <c r="B327">
        <f>ChugachRAW!A327</f>
        <v>0</v>
      </c>
      <c r="C327">
        <f>ChugachRAW!C327</f>
        <v>0</v>
      </c>
      <c r="D327">
        <f>ChugachRAW!D327</f>
        <v>0</v>
      </c>
      <c r="E327">
        <f>ChugachRAW!F327</f>
        <v>0</v>
      </c>
      <c r="F327">
        <f>ChugachRAW!G327</f>
        <v>0</v>
      </c>
    </row>
    <row r="328" spans="1:6" x14ac:dyDescent="0.2">
      <c r="A328" t="s">
        <v>330</v>
      </c>
      <c r="B328">
        <f>ChugachRAW!A328</f>
        <v>0</v>
      </c>
      <c r="C328">
        <f>ChugachRAW!C328</f>
        <v>0</v>
      </c>
      <c r="D328">
        <f>ChugachRAW!D328</f>
        <v>0</v>
      </c>
      <c r="E328">
        <f>ChugachRAW!F328</f>
        <v>0</v>
      </c>
      <c r="F328">
        <f>ChugachRAW!G328</f>
        <v>0</v>
      </c>
    </row>
    <row r="329" spans="1:6" x14ac:dyDescent="0.2">
      <c r="A329" t="s">
        <v>330</v>
      </c>
      <c r="B329">
        <f>ChugachRAW!A329</f>
        <v>0</v>
      </c>
      <c r="C329">
        <f>ChugachRAW!C329</f>
        <v>0</v>
      </c>
      <c r="D329">
        <f>ChugachRAW!D329</f>
        <v>0</v>
      </c>
      <c r="E329">
        <f>ChugachRAW!F329</f>
        <v>0</v>
      </c>
      <c r="F329">
        <f>ChugachRAW!G329</f>
        <v>0</v>
      </c>
    </row>
    <row r="330" spans="1:6" x14ac:dyDescent="0.2">
      <c r="A330" t="s">
        <v>330</v>
      </c>
      <c r="B330">
        <f>ChugachRAW!A330</f>
        <v>0</v>
      </c>
      <c r="C330">
        <f>ChugachRAW!C330</f>
        <v>0</v>
      </c>
      <c r="D330">
        <f>ChugachRAW!D330</f>
        <v>0</v>
      </c>
      <c r="E330">
        <f>ChugachRAW!F330</f>
        <v>0</v>
      </c>
      <c r="F330">
        <f>ChugachRAW!G330</f>
        <v>0</v>
      </c>
    </row>
    <row r="331" spans="1:6" x14ac:dyDescent="0.2">
      <c r="A331" t="s">
        <v>330</v>
      </c>
      <c r="B331">
        <f>ChugachRAW!A331</f>
        <v>0</v>
      </c>
      <c r="C331">
        <f>ChugachRAW!C331</f>
        <v>0</v>
      </c>
      <c r="D331">
        <f>ChugachRAW!D331</f>
        <v>0</v>
      </c>
      <c r="E331">
        <f>ChugachRAW!F331</f>
        <v>0</v>
      </c>
      <c r="F331">
        <f>ChugachRAW!G331</f>
        <v>0</v>
      </c>
    </row>
    <row r="332" spans="1:6" x14ac:dyDescent="0.2">
      <c r="A332" t="s">
        <v>330</v>
      </c>
      <c r="B332">
        <f>ChugachRAW!A332</f>
        <v>0</v>
      </c>
      <c r="C332">
        <f>ChugachRAW!C332</f>
        <v>0</v>
      </c>
      <c r="D332">
        <f>ChugachRAW!D332</f>
        <v>0</v>
      </c>
      <c r="E332">
        <f>ChugachRAW!F332</f>
        <v>0</v>
      </c>
      <c r="F332">
        <f>ChugachRAW!G332</f>
        <v>0</v>
      </c>
    </row>
    <row r="333" spans="1:6" x14ac:dyDescent="0.2">
      <c r="A333" t="s">
        <v>330</v>
      </c>
      <c r="B333">
        <f>ChugachRAW!A333</f>
        <v>0</v>
      </c>
      <c r="C333">
        <f>ChugachRAW!C333</f>
        <v>0</v>
      </c>
      <c r="D333">
        <f>ChugachRAW!D333</f>
        <v>0</v>
      </c>
      <c r="E333">
        <f>ChugachRAW!F333</f>
        <v>0</v>
      </c>
      <c r="F333">
        <f>ChugachRAW!G333</f>
        <v>0</v>
      </c>
    </row>
    <row r="334" spans="1:6" x14ac:dyDescent="0.2">
      <c r="A334" t="s">
        <v>330</v>
      </c>
      <c r="B334">
        <f>ChugachRAW!A334</f>
        <v>0</v>
      </c>
      <c r="C334">
        <f>ChugachRAW!C334</f>
        <v>0</v>
      </c>
      <c r="D334">
        <f>ChugachRAW!D334</f>
        <v>0</v>
      </c>
      <c r="E334">
        <f>ChugachRAW!F334</f>
        <v>0</v>
      </c>
      <c r="F334">
        <f>ChugachRAW!G334</f>
        <v>0</v>
      </c>
    </row>
    <row r="335" spans="1:6" x14ac:dyDescent="0.2">
      <c r="A335" t="s">
        <v>330</v>
      </c>
      <c r="B335">
        <f>ChugachRAW!A335</f>
        <v>0</v>
      </c>
      <c r="C335">
        <f>ChugachRAW!C335</f>
        <v>0</v>
      </c>
      <c r="D335">
        <f>ChugachRAW!D335</f>
        <v>0</v>
      </c>
      <c r="E335">
        <f>ChugachRAW!F335</f>
        <v>0</v>
      </c>
      <c r="F335">
        <f>ChugachRAW!G335</f>
        <v>0</v>
      </c>
    </row>
    <row r="336" spans="1:6" x14ac:dyDescent="0.2">
      <c r="A336" t="s">
        <v>330</v>
      </c>
      <c r="B336">
        <f>ChugachRAW!A336</f>
        <v>0</v>
      </c>
      <c r="C336">
        <f>ChugachRAW!C336</f>
        <v>0</v>
      </c>
      <c r="D336">
        <f>ChugachRAW!D336</f>
        <v>0</v>
      </c>
      <c r="E336">
        <f>ChugachRAW!F336</f>
        <v>0</v>
      </c>
      <c r="F336">
        <f>ChugachRAW!G336</f>
        <v>0</v>
      </c>
    </row>
    <row r="337" spans="1:6" x14ac:dyDescent="0.2">
      <c r="A337" t="s">
        <v>330</v>
      </c>
      <c r="B337">
        <f>ChugachRAW!A337</f>
        <v>0</v>
      </c>
      <c r="C337">
        <f>ChugachRAW!C337</f>
        <v>0</v>
      </c>
      <c r="D337">
        <f>ChugachRAW!D337</f>
        <v>0</v>
      </c>
      <c r="E337">
        <f>ChugachRAW!F337</f>
        <v>0</v>
      </c>
      <c r="F337">
        <f>ChugachRAW!G337</f>
        <v>0</v>
      </c>
    </row>
    <row r="338" spans="1:6" x14ac:dyDescent="0.2">
      <c r="A338" t="s">
        <v>330</v>
      </c>
      <c r="B338">
        <f>ChugachRAW!A338</f>
        <v>0</v>
      </c>
      <c r="C338">
        <f>ChugachRAW!C338</f>
        <v>0</v>
      </c>
      <c r="D338">
        <f>ChugachRAW!D338</f>
        <v>0</v>
      </c>
      <c r="E338">
        <f>ChugachRAW!F338</f>
        <v>0</v>
      </c>
      <c r="F338">
        <f>ChugachRAW!G338</f>
        <v>0</v>
      </c>
    </row>
    <row r="339" spans="1:6" x14ac:dyDescent="0.2">
      <c r="A339" t="s">
        <v>330</v>
      </c>
      <c r="B339">
        <f>ChugachRAW!A339</f>
        <v>0</v>
      </c>
      <c r="C339">
        <f>ChugachRAW!C339</f>
        <v>0</v>
      </c>
      <c r="D339">
        <f>ChugachRAW!D339</f>
        <v>0</v>
      </c>
      <c r="E339">
        <f>ChugachRAW!F339</f>
        <v>0</v>
      </c>
      <c r="F339">
        <f>ChugachRAW!G339</f>
        <v>0</v>
      </c>
    </row>
    <row r="340" spans="1:6" x14ac:dyDescent="0.2">
      <c r="A340" t="s">
        <v>330</v>
      </c>
      <c r="B340">
        <f>ChugachRAW!A340</f>
        <v>0</v>
      </c>
      <c r="C340">
        <f>ChugachRAW!C340</f>
        <v>0</v>
      </c>
      <c r="D340">
        <f>ChugachRAW!D340</f>
        <v>0</v>
      </c>
      <c r="E340">
        <f>ChugachRAW!F340</f>
        <v>0</v>
      </c>
      <c r="F340">
        <f>ChugachRAW!G340</f>
        <v>0</v>
      </c>
    </row>
    <row r="341" spans="1:6" x14ac:dyDescent="0.2">
      <c r="A341" t="s">
        <v>330</v>
      </c>
      <c r="B341">
        <f>ChugachRAW!A341</f>
        <v>0</v>
      </c>
      <c r="C341">
        <f>ChugachRAW!C341</f>
        <v>0</v>
      </c>
      <c r="D341">
        <f>ChugachRAW!D341</f>
        <v>0</v>
      </c>
      <c r="E341">
        <f>ChugachRAW!F341</f>
        <v>0</v>
      </c>
      <c r="F341">
        <f>ChugachRAW!G341</f>
        <v>0</v>
      </c>
    </row>
    <row r="342" spans="1:6" x14ac:dyDescent="0.2">
      <c r="A342" t="s">
        <v>330</v>
      </c>
      <c r="B342">
        <f>ChugachRAW!A342</f>
        <v>0</v>
      </c>
      <c r="C342">
        <f>ChugachRAW!C342</f>
        <v>0</v>
      </c>
      <c r="D342">
        <f>ChugachRAW!D342</f>
        <v>0</v>
      </c>
      <c r="E342">
        <f>ChugachRAW!F342</f>
        <v>0</v>
      </c>
      <c r="F342">
        <f>ChugachRAW!G342</f>
        <v>0</v>
      </c>
    </row>
    <row r="343" spans="1:6" x14ac:dyDescent="0.2">
      <c r="A343" t="s">
        <v>330</v>
      </c>
      <c r="B343">
        <f>ChugachRAW!A343</f>
        <v>0</v>
      </c>
      <c r="C343">
        <f>ChugachRAW!C343</f>
        <v>0</v>
      </c>
      <c r="D343">
        <f>ChugachRAW!D343</f>
        <v>0</v>
      </c>
      <c r="E343">
        <f>ChugachRAW!F343</f>
        <v>0</v>
      </c>
      <c r="F343">
        <f>ChugachRAW!G343</f>
        <v>0</v>
      </c>
    </row>
    <row r="344" spans="1:6" x14ac:dyDescent="0.2">
      <c r="A344" t="s">
        <v>330</v>
      </c>
      <c r="B344">
        <f>ChugachRAW!A344</f>
        <v>0</v>
      </c>
      <c r="C344">
        <f>ChugachRAW!C344</f>
        <v>0</v>
      </c>
      <c r="D344">
        <f>ChugachRAW!D344</f>
        <v>0</v>
      </c>
      <c r="E344">
        <f>ChugachRAW!F344</f>
        <v>0</v>
      </c>
      <c r="F344">
        <f>ChugachRAW!G344</f>
        <v>0</v>
      </c>
    </row>
    <row r="345" spans="1:6" x14ac:dyDescent="0.2">
      <c r="A345" t="s">
        <v>330</v>
      </c>
      <c r="B345">
        <f>ChugachRAW!A345</f>
        <v>0</v>
      </c>
      <c r="C345">
        <f>ChugachRAW!C345</f>
        <v>0</v>
      </c>
      <c r="D345">
        <f>ChugachRAW!D345</f>
        <v>0</v>
      </c>
      <c r="E345">
        <f>ChugachRAW!F345</f>
        <v>0</v>
      </c>
      <c r="F345">
        <f>ChugachRAW!G345</f>
        <v>0</v>
      </c>
    </row>
    <row r="346" spans="1:6" x14ac:dyDescent="0.2">
      <c r="A346" t="s">
        <v>330</v>
      </c>
      <c r="B346">
        <f>ChugachRAW!A346</f>
        <v>0</v>
      </c>
      <c r="C346">
        <f>ChugachRAW!C346</f>
        <v>0</v>
      </c>
      <c r="D346">
        <f>ChugachRAW!D346</f>
        <v>0</v>
      </c>
      <c r="E346">
        <f>ChugachRAW!F346</f>
        <v>0</v>
      </c>
      <c r="F346">
        <f>ChugachRAW!G346</f>
        <v>0</v>
      </c>
    </row>
    <row r="347" spans="1:6" x14ac:dyDescent="0.2">
      <c r="A347" t="s">
        <v>330</v>
      </c>
      <c r="B347">
        <f>ChugachRAW!A347</f>
        <v>0</v>
      </c>
      <c r="C347">
        <f>ChugachRAW!C347</f>
        <v>0</v>
      </c>
      <c r="D347">
        <f>ChugachRAW!D347</f>
        <v>0</v>
      </c>
      <c r="E347">
        <f>ChugachRAW!F347</f>
        <v>0</v>
      </c>
      <c r="F347">
        <f>ChugachRAW!G347</f>
        <v>0</v>
      </c>
    </row>
    <row r="348" spans="1:6" x14ac:dyDescent="0.2">
      <c r="A348" t="s">
        <v>330</v>
      </c>
      <c r="B348">
        <f>ChugachRAW!A348</f>
        <v>0</v>
      </c>
      <c r="C348">
        <f>ChugachRAW!C348</f>
        <v>0</v>
      </c>
      <c r="D348">
        <f>ChugachRAW!D348</f>
        <v>0</v>
      </c>
      <c r="E348">
        <f>ChugachRAW!F348</f>
        <v>0</v>
      </c>
      <c r="F348">
        <f>ChugachRAW!G348</f>
        <v>0</v>
      </c>
    </row>
    <row r="349" spans="1:6" x14ac:dyDescent="0.2">
      <c r="A349" t="s">
        <v>330</v>
      </c>
      <c r="B349">
        <f>ChugachRAW!A349</f>
        <v>0</v>
      </c>
      <c r="C349">
        <f>ChugachRAW!C349</f>
        <v>0</v>
      </c>
      <c r="D349">
        <f>ChugachRAW!D349</f>
        <v>0</v>
      </c>
      <c r="E349">
        <f>ChugachRAW!F349</f>
        <v>0</v>
      </c>
      <c r="F349">
        <f>ChugachRAW!G349</f>
        <v>0</v>
      </c>
    </row>
    <row r="350" spans="1:6" x14ac:dyDescent="0.2">
      <c r="A350" t="s">
        <v>330</v>
      </c>
      <c r="B350">
        <f>ChugachRAW!A350</f>
        <v>0</v>
      </c>
      <c r="C350">
        <f>ChugachRAW!C350</f>
        <v>0</v>
      </c>
      <c r="D350">
        <f>ChugachRAW!D350</f>
        <v>0</v>
      </c>
      <c r="E350">
        <f>ChugachRAW!F350</f>
        <v>0</v>
      </c>
      <c r="F350">
        <f>ChugachRAW!G350</f>
        <v>0</v>
      </c>
    </row>
    <row r="351" spans="1:6" x14ac:dyDescent="0.2">
      <c r="A351" t="s">
        <v>330</v>
      </c>
      <c r="B351">
        <f>ChugachRAW!A351</f>
        <v>0</v>
      </c>
      <c r="C351">
        <f>ChugachRAW!C351</f>
        <v>0</v>
      </c>
      <c r="D351">
        <f>ChugachRAW!D351</f>
        <v>0</v>
      </c>
      <c r="E351">
        <f>ChugachRAW!F351</f>
        <v>0</v>
      </c>
      <c r="F351">
        <f>ChugachRAW!G351</f>
        <v>0</v>
      </c>
    </row>
    <row r="352" spans="1:6" x14ac:dyDescent="0.2">
      <c r="A352" t="s">
        <v>330</v>
      </c>
      <c r="B352">
        <f>ChugachRAW!A352</f>
        <v>0</v>
      </c>
      <c r="C352">
        <f>ChugachRAW!C352</f>
        <v>0</v>
      </c>
      <c r="D352">
        <f>ChugachRAW!D352</f>
        <v>0</v>
      </c>
      <c r="E352">
        <f>ChugachRAW!F352</f>
        <v>0</v>
      </c>
      <c r="F352">
        <f>ChugachRAW!G352</f>
        <v>0</v>
      </c>
    </row>
    <row r="353" spans="1:6" x14ac:dyDescent="0.2">
      <c r="A353" t="s">
        <v>330</v>
      </c>
      <c r="B353">
        <f>ChugachRAW!A353</f>
        <v>0</v>
      </c>
      <c r="C353">
        <f>ChugachRAW!C353</f>
        <v>0</v>
      </c>
      <c r="D353">
        <f>ChugachRAW!D353</f>
        <v>0</v>
      </c>
      <c r="E353">
        <f>ChugachRAW!F353</f>
        <v>0</v>
      </c>
      <c r="F353">
        <f>ChugachRAW!G353</f>
        <v>0</v>
      </c>
    </row>
    <row r="354" spans="1:6" x14ac:dyDescent="0.2">
      <c r="A354" t="s">
        <v>330</v>
      </c>
      <c r="B354">
        <f>ChugachRAW!A354</f>
        <v>0</v>
      </c>
      <c r="C354">
        <f>ChugachRAW!C354</f>
        <v>0</v>
      </c>
      <c r="D354">
        <f>ChugachRAW!D354</f>
        <v>0</v>
      </c>
      <c r="E354">
        <f>ChugachRAW!F354</f>
        <v>0</v>
      </c>
      <c r="F354">
        <f>ChugachRAW!G354</f>
        <v>0</v>
      </c>
    </row>
    <row r="355" spans="1:6" x14ac:dyDescent="0.2">
      <c r="A355" t="s">
        <v>330</v>
      </c>
      <c r="B355">
        <f>ChugachRAW!A355</f>
        <v>0</v>
      </c>
      <c r="C355">
        <f>ChugachRAW!C355</f>
        <v>0</v>
      </c>
      <c r="D355">
        <f>ChugachRAW!D355</f>
        <v>0</v>
      </c>
      <c r="E355">
        <f>ChugachRAW!F355</f>
        <v>0</v>
      </c>
      <c r="F355">
        <f>ChugachRAW!G355</f>
        <v>0</v>
      </c>
    </row>
    <row r="356" spans="1:6" x14ac:dyDescent="0.2">
      <c r="A356" t="s">
        <v>330</v>
      </c>
      <c r="B356">
        <f>ChugachRAW!A356</f>
        <v>0</v>
      </c>
      <c r="C356">
        <f>ChugachRAW!C356</f>
        <v>0</v>
      </c>
      <c r="D356">
        <f>ChugachRAW!D356</f>
        <v>0</v>
      </c>
      <c r="E356">
        <f>ChugachRAW!F356</f>
        <v>0</v>
      </c>
      <c r="F356">
        <f>ChugachRAW!G356</f>
        <v>0</v>
      </c>
    </row>
    <row r="357" spans="1:6" x14ac:dyDescent="0.2">
      <c r="A357" t="s">
        <v>330</v>
      </c>
      <c r="B357">
        <f>ChugachRAW!A357</f>
        <v>0</v>
      </c>
      <c r="C357">
        <f>ChugachRAW!C357</f>
        <v>0</v>
      </c>
      <c r="D357">
        <f>ChugachRAW!D357</f>
        <v>0</v>
      </c>
      <c r="E357">
        <f>ChugachRAW!F357</f>
        <v>0</v>
      </c>
      <c r="F357">
        <f>ChugachRAW!G357</f>
        <v>0</v>
      </c>
    </row>
    <row r="358" spans="1:6" x14ac:dyDescent="0.2">
      <c r="A358" t="s">
        <v>330</v>
      </c>
      <c r="B358">
        <f>ChugachRAW!A358</f>
        <v>0</v>
      </c>
      <c r="C358">
        <f>ChugachRAW!C358</f>
        <v>0</v>
      </c>
      <c r="D358">
        <f>ChugachRAW!D358</f>
        <v>0</v>
      </c>
      <c r="E358">
        <f>ChugachRAW!F358</f>
        <v>0</v>
      </c>
      <c r="F358">
        <f>ChugachRAW!G358</f>
        <v>0</v>
      </c>
    </row>
    <row r="359" spans="1:6" x14ac:dyDescent="0.2">
      <c r="A359" t="s">
        <v>330</v>
      </c>
      <c r="B359">
        <f>ChugachRAW!A359</f>
        <v>0</v>
      </c>
      <c r="C359">
        <f>ChugachRAW!C359</f>
        <v>0</v>
      </c>
      <c r="D359">
        <f>ChugachRAW!D359</f>
        <v>0</v>
      </c>
      <c r="E359">
        <f>ChugachRAW!F359</f>
        <v>0</v>
      </c>
      <c r="F359">
        <f>ChugachRAW!G359</f>
        <v>0</v>
      </c>
    </row>
    <row r="360" spans="1:6" x14ac:dyDescent="0.2">
      <c r="A360" t="s">
        <v>330</v>
      </c>
      <c r="B360">
        <f>ChugachRAW!A360</f>
        <v>0</v>
      </c>
      <c r="C360">
        <f>ChugachRAW!C360</f>
        <v>0</v>
      </c>
      <c r="D360">
        <f>ChugachRAW!D360</f>
        <v>0</v>
      </c>
      <c r="E360">
        <f>ChugachRAW!F360</f>
        <v>0</v>
      </c>
      <c r="F360">
        <f>ChugachRAW!G360</f>
        <v>0</v>
      </c>
    </row>
    <row r="361" spans="1:6" x14ac:dyDescent="0.2">
      <c r="A361" t="s">
        <v>330</v>
      </c>
      <c r="B361">
        <f>ChugachRAW!A361</f>
        <v>0</v>
      </c>
      <c r="C361">
        <f>ChugachRAW!C361</f>
        <v>0</v>
      </c>
      <c r="D361">
        <f>ChugachRAW!D361</f>
        <v>0</v>
      </c>
      <c r="E361">
        <f>ChugachRAW!F361</f>
        <v>0</v>
      </c>
      <c r="F361">
        <f>ChugachRAW!G361</f>
        <v>0</v>
      </c>
    </row>
    <row r="362" spans="1:6" x14ac:dyDescent="0.2">
      <c r="A362" t="s">
        <v>330</v>
      </c>
      <c r="B362">
        <f>ChugachRAW!A362</f>
        <v>0</v>
      </c>
      <c r="C362">
        <f>ChugachRAW!C362</f>
        <v>0</v>
      </c>
      <c r="D362">
        <f>ChugachRAW!D362</f>
        <v>0</v>
      </c>
      <c r="E362">
        <f>ChugachRAW!F362</f>
        <v>0</v>
      </c>
      <c r="F362">
        <f>ChugachRAW!G362</f>
        <v>0</v>
      </c>
    </row>
    <row r="363" spans="1:6" x14ac:dyDescent="0.2">
      <c r="A363" t="s">
        <v>330</v>
      </c>
      <c r="B363">
        <f>ChugachRAW!A363</f>
        <v>0</v>
      </c>
      <c r="C363">
        <f>ChugachRAW!C363</f>
        <v>0</v>
      </c>
      <c r="D363">
        <f>ChugachRAW!D363</f>
        <v>0</v>
      </c>
      <c r="E363">
        <f>ChugachRAW!F363</f>
        <v>0</v>
      </c>
      <c r="F363">
        <f>ChugachRAW!G363</f>
        <v>0</v>
      </c>
    </row>
    <row r="364" spans="1:6" x14ac:dyDescent="0.2">
      <c r="A364" t="s">
        <v>330</v>
      </c>
      <c r="B364">
        <f>ChugachRAW!A364</f>
        <v>0</v>
      </c>
      <c r="C364">
        <f>ChugachRAW!C364</f>
        <v>0</v>
      </c>
      <c r="D364">
        <f>ChugachRAW!D364</f>
        <v>0</v>
      </c>
      <c r="E364">
        <f>ChugachRAW!F364</f>
        <v>0</v>
      </c>
      <c r="F364">
        <f>ChugachRAW!G364</f>
        <v>0</v>
      </c>
    </row>
    <row r="365" spans="1:6" x14ac:dyDescent="0.2">
      <c r="A365" t="s">
        <v>330</v>
      </c>
      <c r="B365">
        <f>ChugachRAW!A365</f>
        <v>0</v>
      </c>
      <c r="C365">
        <f>ChugachRAW!C365</f>
        <v>0</v>
      </c>
      <c r="D365">
        <f>ChugachRAW!D365</f>
        <v>0</v>
      </c>
      <c r="E365">
        <f>ChugachRAW!F365</f>
        <v>0</v>
      </c>
      <c r="F365">
        <f>ChugachRAW!G365</f>
        <v>0</v>
      </c>
    </row>
    <row r="366" spans="1:6" x14ac:dyDescent="0.2">
      <c r="A366" t="s">
        <v>330</v>
      </c>
      <c r="B366">
        <f>ChugachRAW!A366</f>
        <v>0</v>
      </c>
      <c r="C366">
        <f>ChugachRAW!C366</f>
        <v>0</v>
      </c>
      <c r="D366">
        <f>ChugachRAW!D366</f>
        <v>0</v>
      </c>
      <c r="E366">
        <f>ChugachRAW!F366</f>
        <v>0</v>
      </c>
      <c r="F366">
        <f>ChugachRAW!G366</f>
        <v>0</v>
      </c>
    </row>
    <row r="367" spans="1:6" x14ac:dyDescent="0.2">
      <c r="A367" t="s">
        <v>330</v>
      </c>
      <c r="B367">
        <f>ChugachRAW!A367</f>
        <v>0</v>
      </c>
      <c r="C367">
        <f>ChugachRAW!C367</f>
        <v>0</v>
      </c>
      <c r="D367">
        <f>ChugachRAW!D367</f>
        <v>0</v>
      </c>
      <c r="E367">
        <f>ChugachRAW!F367</f>
        <v>0</v>
      </c>
      <c r="F367">
        <f>ChugachRAW!G367</f>
        <v>0</v>
      </c>
    </row>
    <row r="368" spans="1:6" x14ac:dyDescent="0.2">
      <c r="A368" t="s">
        <v>330</v>
      </c>
      <c r="B368">
        <f>ChugachRAW!A368</f>
        <v>0</v>
      </c>
      <c r="C368">
        <f>ChugachRAW!C368</f>
        <v>0</v>
      </c>
      <c r="D368">
        <f>ChugachRAW!D368</f>
        <v>0</v>
      </c>
      <c r="E368">
        <f>ChugachRAW!F368</f>
        <v>0</v>
      </c>
      <c r="F368">
        <f>ChugachRAW!G368</f>
        <v>0</v>
      </c>
    </row>
    <row r="369" spans="1:6" x14ac:dyDescent="0.2">
      <c r="A369" t="s">
        <v>330</v>
      </c>
      <c r="B369">
        <f>ChugachRAW!A369</f>
        <v>0</v>
      </c>
      <c r="C369">
        <f>ChugachRAW!C369</f>
        <v>0</v>
      </c>
      <c r="D369">
        <f>ChugachRAW!D369</f>
        <v>0</v>
      </c>
      <c r="E369">
        <f>ChugachRAW!F369</f>
        <v>0</v>
      </c>
      <c r="F369">
        <f>ChugachRAW!G369</f>
        <v>0</v>
      </c>
    </row>
    <row r="370" spans="1:6" x14ac:dyDescent="0.2">
      <c r="A370" t="s">
        <v>330</v>
      </c>
      <c r="B370">
        <f>ChugachRAW!A370</f>
        <v>0</v>
      </c>
      <c r="C370">
        <f>ChugachRAW!C370</f>
        <v>0</v>
      </c>
      <c r="D370">
        <f>ChugachRAW!D370</f>
        <v>0</v>
      </c>
      <c r="E370">
        <f>ChugachRAW!F370</f>
        <v>0</v>
      </c>
      <c r="F370">
        <f>ChugachRAW!G370</f>
        <v>0</v>
      </c>
    </row>
    <row r="371" spans="1:6" x14ac:dyDescent="0.2">
      <c r="A371" t="s">
        <v>330</v>
      </c>
      <c r="B371">
        <f>ChugachRAW!A371</f>
        <v>0</v>
      </c>
      <c r="C371">
        <f>ChugachRAW!C371</f>
        <v>0</v>
      </c>
      <c r="D371">
        <f>ChugachRAW!D371</f>
        <v>0</v>
      </c>
      <c r="E371">
        <f>ChugachRAW!F371</f>
        <v>0</v>
      </c>
      <c r="F371">
        <f>ChugachRAW!G371</f>
        <v>0</v>
      </c>
    </row>
    <row r="372" spans="1:6" x14ac:dyDescent="0.2">
      <c r="A372" t="s">
        <v>330</v>
      </c>
      <c r="B372">
        <f>ChugachRAW!A372</f>
        <v>0</v>
      </c>
      <c r="C372">
        <f>ChugachRAW!C372</f>
        <v>0</v>
      </c>
      <c r="D372">
        <f>ChugachRAW!D372</f>
        <v>0</v>
      </c>
      <c r="E372">
        <f>ChugachRAW!F372</f>
        <v>0</v>
      </c>
      <c r="F372">
        <f>ChugachRAW!G372</f>
        <v>0</v>
      </c>
    </row>
    <row r="373" spans="1:6" x14ac:dyDescent="0.2">
      <c r="A373" t="s">
        <v>330</v>
      </c>
      <c r="B373">
        <f>ChugachRAW!A373</f>
        <v>0</v>
      </c>
      <c r="C373">
        <f>ChugachRAW!C373</f>
        <v>0</v>
      </c>
      <c r="D373">
        <f>ChugachRAW!D373</f>
        <v>0</v>
      </c>
      <c r="E373">
        <f>ChugachRAW!F373</f>
        <v>0</v>
      </c>
      <c r="F373">
        <f>ChugachRAW!G373</f>
        <v>0</v>
      </c>
    </row>
    <row r="374" spans="1:6" x14ac:dyDescent="0.2">
      <c r="A374" t="s">
        <v>330</v>
      </c>
      <c r="B374">
        <f>ChugachRAW!A374</f>
        <v>0</v>
      </c>
      <c r="C374">
        <f>ChugachRAW!C374</f>
        <v>0</v>
      </c>
      <c r="D374">
        <f>ChugachRAW!D374</f>
        <v>0</v>
      </c>
      <c r="E374">
        <f>ChugachRAW!F374</f>
        <v>0</v>
      </c>
      <c r="F374">
        <f>ChugachRAW!G374</f>
        <v>0</v>
      </c>
    </row>
    <row r="375" spans="1:6" x14ac:dyDescent="0.2">
      <c r="A375" t="s">
        <v>330</v>
      </c>
      <c r="B375">
        <f>ChugachRAW!A375</f>
        <v>0</v>
      </c>
      <c r="C375">
        <f>ChugachRAW!C375</f>
        <v>0</v>
      </c>
      <c r="D375">
        <f>ChugachRAW!D375</f>
        <v>0</v>
      </c>
      <c r="E375">
        <f>ChugachRAW!F375</f>
        <v>0</v>
      </c>
      <c r="F375">
        <f>ChugachRAW!G375</f>
        <v>0</v>
      </c>
    </row>
    <row r="376" spans="1:6" x14ac:dyDescent="0.2">
      <c r="A376" t="s">
        <v>330</v>
      </c>
      <c r="B376">
        <f>ChugachRAW!A376</f>
        <v>0</v>
      </c>
      <c r="C376">
        <f>ChugachRAW!C376</f>
        <v>0</v>
      </c>
      <c r="D376">
        <f>ChugachRAW!D376</f>
        <v>0</v>
      </c>
      <c r="E376">
        <f>ChugachRAW!F376</f>
        <v>0</v>
      </c>
      <c r="F376">
        <f>ChugachRAW!G376</f>
        <v>0</v>
      </c>
    </row>
    <row r="377" spans="1:6" x14ac:dyDescent="0.2">
      <c r="A377" t="s">
        <v>330</v>
      </c>
      <c r="B377">
        <f>ChugachRAW!A377</f>
        <v>0</v>
      </c>
      <c r="C377">
        <f>ChugachRAW!C377</f>
        <v>0</v>
      </c>
      <c r="D377">
        <f>ChugachRAW!D377</f>
        <v>0</v>
      </c>
      <c r="E377">
        <f>ChugachRAW!F377</f>
        <v>0</v>
      </c>
      <c r="F377">
        <f>ChugachRAW!G377</f>
        <v>0</v>
      </c>
    </row>
    <row r="378" spans="1:6" x14ac:dyDescent="0.2">
      <c r="A378" t="s">
        <v>330</v>
      </c>
      <c r="B378">
        <f>ChugachRAW!A378</f>
        <v>0</v>
      </c>
      <c r="C378">
        <f>ChugachRAW!C378</f>
        <v>0</v>
      </c>
      <c r="D378">
        <f>ChugachRAW!D378</f>
        <v>0</v>
      </c>
      <c r="E378">
        <f>ChugachRAW!F378</f>
        <v>0</v>
      </c>
      <c r="F378">
        <f>ChugachRAW!G378</f>
        <v>0</v>
      </c>
    </row>
    <row r="379" spans="1:6" x14ac:dyDescent="0.2">
      <c r="A379" t="s">
        <v>330</v>
      </c>
      <c r="B379">
        <f>ChugachRAW!A379</f>
        <v>0</v>
      </c>
      <c r="C379">
        <f>ChugachRAW!C379</f>
        <v>0</v>
      </c>
      <c r="D379">
        <f>ChugachRAW!D379</f>
        <v>0</v>
      </c>
      <c r="E379">
        <f>ChugachRAW!F379</f>
        <v>0</v>
      </c>
      <c r="F379">
        <f>ChugachRAW!G379</f>
        <v>0</v>
      </c>
    </row>
    <row r="380" spans="1:6" x14ac:dyDescent="0.2">
      <c r="A380" t="s">
        <v>330</v>
      </c>
      <c r="B380">
        <f>ChugachRAW!A380</f>
        <v>0</v>
      </c>
      <c r="C380">
        <f>ChugachRAW!C380</f>
        <v>0</v>
      </c>
      <c r="D380">
        <f>ChugachRAW!D380</f>
        <v>0</v>
      </c>
      <c r="E380">
        <f>ChugachRAW!F380</f>
        <v>0</v>
      </c>
      <c r="F380">
        <f>ChugachRAW!G380</f>
        <v>0</v>
      </c>
    </row>
    <row r="381" spans="1:6" x14ac:dyDescent="0.2">
      <c r="A381" t="s">
        <v>330</v>
      </c>
      <c r="B381">
        <f>ChugachRAW!A381</f>
        <v>0</v>
      </c>
      <c r="C381">
        <f>ChugachRAW!C381</f>
        <v>0</v>
      </c>
      <c r="D381">
        <f>ChugachRAW!D381</f>
        <v>0</v>
      </c>
      <c r="E381">
        <f>ChugachRAW!F381</f>
        <v>0</v>
      </c>
      <c r="F381">
        <f>ChugachRAW!G381</f>
        <v>0</v>
      </c>
    </row>
    <row r="382" spans="1:6" x14ac:dyDescent="0.2">
      <c r="A382" t="s">
        <v>330</v>
      </c>
      <c r="B382">
        <f>ChugachRAW!A382</f>
        <v>0</v>
      </c>
      <c r="C382">
        <f>ChugachRAW!C382</f>
        <v>0</v>
      </c>
      <c r="D382">
        <f>ChugachRAW!D382</f>
        <v>0</v>
      </c>
      <c r="E382">
        <f>ChugachRAW!F382</f>
        <v>0</v>
      </c>
      <c r="F382">
        <f>ChugachRAW!G382</f>
        <v>0</v>
      </c>
    </row>
    <row r="383" spans="1:6" x14ac:dyDescent="0.2">
      <c r="A383" t="s">
        <v>330</v>
      </c>
      <c r="B383">
        <f>ChugachRAW!A383</f>
        <v>0</v>
      </c>
      <c r="C383">
        <f>ChugachRAW!C383</f>
        <v>0</v>
      </c>
      <c r="D383">
        <f>ChugachRAW!D383</f>
        <v>0</v>
      </c>
      <c r="E383">
        <f>ChugachRAW!F383</f>
        <v>0</v>
      </c>
      <c r="F383">
        <f>ChugachRAW!G383</f>
        <v>0</v>
      </c>
    </row>
    <row r="384" spans="1:6" x14ac:dyDescent="0.2">
      <c r="A384" t="s">
        <v>330</v>
      </c>
      <c r="B384">
        <f>ChugachRAW!A384</f>
        <v>0</v>
      </c>
      <c r="C384">
        <f>ChugachRAW!C384</f>
        <v>0</v>
      </c>
      <c r="D384">
        <f>ChugachRAW!D384</f>
        <v>0</v>
      </c>
      <c r="E384">
        <f>ChugachRAW!F384</f>
        <v>0</v>
      </c>
      <c r="F384">
        <f>ChugachRAW!G384</f>
        <v>0</v>
      </c>
    </row>
    <row r="385" spans="1:6" x14ac:dyDescent="0.2">
      <c r="A385" t="s">
        <v>330</v>
      </c>
      <c r="B385">
        <f>ChugachRAW!A385</f>
        <v>0</v>
      </c>
      <c r="C385">
        <f>ChugachRAW!C385</f>
        <v>0</v>
      </c>
      <c r="D385">
        <f>ChugachRAW!D385</f>
        <v>0</v>
      </c>
      <c r="E385">
        <f>ChugachRAW!F385</f>
        <v>0</v>
      </c>
      <c r="F385">
        <f>ChugachRAW!G385</f>
        <v>0</v>
      </c>
    </row>
    <row r="386" spans="1:6" x14ac:dyDescent="0.2">
      <c r="A386" t="s">
        <v>330</v>
      </c>
      <c r="B386">
        <f>ChugachRAW!A386</f>
        <v>0</v>
      </c>
      <c r="C386">
        <f>ChugachRAW!C386</f>
        <v>0</v>
      </c>
      <c r="D386">
        <f>ChugachRAW!D386</f>
        <v>0</v>
      </c>
      <c r="E386">
        <f>ChugachRAW!F386</f>
        <v>0</v>
      </c>
      <c r="F386">
        <f>ChugachRAW!G386</f>
        <v>0</v>
      </c>
    </row>
    <row r="387" spans="1:6" x14ac:dyDescent="0.2">
      <c r="A387" t="s">
        <v>330</v>
      </c>
      <c r="B387">
        <f>ChugachRAW!A387</f>
        <v>0</v>
      </c>
      <c r="C387">
        <f>ChugachRAW!C387</f>
        <v>0</v>
      </c>
      <c r="D387">
        <f>ChugachRAW!D387</f>
        <v>0</v>
      </c>
      <c r="E387">
        <f>ChugachRAW!F387</f>
        <v>0</v>
      </c>
      <c r="F387">
        <f>ChugachRAW!G387</f>
        <v>0</v>
      </c>
    </row>
    <row r="388" spans="1:6" x14ac:dyDescent="0.2">
      <c r="A388" t="s">
        <v>330</v>
      </c>
      <c r="B388">
        <f>ChugachRAW!A388</f>
        <v>0</v>
      </c>
      <c r="C388">
        <f>ChugachRAW!C388</f>
        <v>0</v>
      </c>
      <c r="D388">
        <f>ChugachRAW!D388</f>
        <v>0</v>
      </c>
      <c r="E388">
        <f>ChugachRAW!F388</f>
        <v>0</v>
      </c>
      <c r="F388">
        <f>ChugachRAW!G388</f>
        <v>0</v>
      </c>
    </row>
    <row r="389" spans="1:6" x14ac:dyDescent="0.2">
      <c r="A389" t="s">
        <v>330</v>
      </c>
      <c r="B389">
        <f>ChugachRAW!A389</f>
        <v>0</v>
      </c>
      <c r="C389">
        <f>ChugachRAW!C389</f>
        <v>0</v>
      </c>
      <c r="D389">
        <f>ChugachRAW!D389</f>
        <v>0</v>
      </c>
      <c r="E389">
        <f>ChugachRAW!F389</f>
        <v>0</v>
      </c>
      <c r="F389">
        <f>ChugachRAW!G389</f>
        <v>0</v>
      </c>
    </row>
    <row r="390" spans="1:6" x14ac:dyDescent="0.2">
      <c r="A390" t="s">
        <v>330</v>
      </c>
      <c r="B390">
        <f>ChugachRAW!A390</f>
        <v>0</v>
      </c>
      <c r="C390">
        <f>ChugachRAW!C390</f>
        <v>0</v>
      </c>
      <c r="D390">
        <f>ChugachRAW!D390</f>
        <v>0</v>
      </c>
      <c r="E390">
        <f>ChugachRAW!F390</f>
        <v>0</v>
      </c>
      <c r="F390">
        <f>ChugachRAW!G390</f>
        <v>0</v>
      </c>
    </row>
    <row r="391" spans="1:6" x14ac:dyDescent="0.2">
      <c r="A391" t="s">
        <v>330</v>
      </c>
      <c r="B391">
        <f>ChugachRAW!A391</f>
        <v>0</v>
      </c>
      <c r="C391">
        <f>ChugachRAW!C391</f>
        <v>0</v>
      </c>
      <c r="D391">
        <f>ChugachRAW!D391</f>
        <v>0</v>
      </c>
      <c r="E391">
        <f>ChugachRAW!F391</f>
        <v>0</v>
      </c>
      <c r="F391">
        <f>ChugachRAW!G391</f>
        <v>0</v>
      </c>
    </row>
    <row r="392" spans="1:6" x14ac:dyDescent="0.2">
      <c r="A392" t="s">
        <v>330</v>
      </c>
      <c r="B392">
        <f>ChugachRAW!A392</f>
        <v>0</v>
      </c>
      <c r="C392">
        <f>ChugachRAW!C392</f>
        <v>0</v>
      </c>
      <c r="D392">
        <f>ChugachRAW!D392</f>
        <v>0</v>
      </c>
      <c r="E392">
        <f>ChugachRAW!F392</f>
        <v>0</v>
      </c>
      <c r="F392">
        <f>ChugachRAW!G392</f>
        <v>0</v>
      </c>
    </row>
    <row r="393" spans="1:6" x14ac:dyDescent="0.2">
      <c r="A393" t="s">
        <v>330</v>
      </c>
      <c r="B393">
        <f>ChugachRAW!A393</f>
        <v>0</v>
      </c>
      <c r="C393">
        <f>ChugachRAW!C393</f>
        <v>0</v>
      </c>
      <c r="D393">
        <f>ChugachRAW!D393</f>
        <v>0</v>
      </c>
      <c r="E393">
        <f>ChugachRAW!F393</f>
        <v>0</v>
      </c>
      <c r="F393">
        <f>ChugachRAW!G393</f>
        <v>0</v>
      </c>
    </row>
    <row r="394" spans="1:6" x14ac:dyDescent="0.2">
      <c r="A394" t="s">
        <v>330</v>
      </c>
      <c r="B394">
        <f>ChugachRAW!A394</f>
        <v>0</v>
      </c>
      <c r="C394">
        <f>ChugachRAW!C394</f>
        <v>0</v>
      </c>
      <c r="D394">
        <f>ChugachRAW!D394</f>
        <v>0</v>
      </c>
      <c r="E394">
        <f>ChugachRAW!F394</f>
        <v>0</v>
      </c>
      <c r="F394">
        <f>ChugachRAW!G394</f>
        <v>0</v>
      </c>
    </row>
    <row r="395" spans="1:6" x14ac:dyDescent="0.2">
      <c r="A395" t="s">
        <v>330</v>
      </c>
      <c r="B395">
        <f>ChugachRAW!A395</f>
        <v>0</v>
      </c>
      <c r="C395">
        <f>ChugachRAW!C395</f>
        <v>0</v>
      </c>
      <c r="D395">
        <f>ChugachRAW!D395</f>
        <v>0</v>
      </c>
      <c r="E395">
        <f>ChugachRAW!F395</f>
        <v>0</v>
      </c>
      <c r="F395">
        <f>ChugachRAW!G395</f>
        <v>0</v>
      </c>
    </row>
    <row r="396" spans="1:6" x14ac:dyDescent="0.2">
      <c r="A396" t="s">
        <v>330</v>
      </c>
      <c r="B396">
        <f>ChugachRAW!A396</f>
        <v>0</v>
      </c>
      <c r="C396">
        <f>ChugachRAW!C396</f>
        <v>0</v>
      </c>
      <c r="D396">
        <f>ChugachRAW!D396</f>
        <v>0</v>
      </c>
      <c r="E396">
        <f>ChugachRAW!F396</f>
        <v>0</v>
      </c>
      <c r="F396">
        <f>ChugachRAW!G396</f>
        <v>0</v>
      </c>
    </row>
    <row r="397" spans="1:6" x14ac:dyDescent="0.2">
      <c r="A397" t="s">
        <v>330</v>
      </c>
      <c r="B397">
        <f>ChugachRAW!A397</f>
        <v>0</v>
      </c>
      <c r="C397">
        <f>ChugachRAW!C397</f>
        <v>0</v>
      </c>
      <c r="D397">
        <f>ChugachRAW!D397</f>
        <v>0</v>
      </c>
      <c r="E397">
        <f>ChugachRAW!F397</f>
        <v>0</v>
      </c>
      <c r="F397">
        <f>ChugachRAW!G397</f>
        <v>0</v>
      </c>
    </row>
    <row r="398" spans="1:6" x14ac:dyDescent="0.2">
      <c r="A398" t="s">
        <v>330</v>
      </c>
      <c r="B398">
        <f>ChugachRAW!A398</f>
        <v>0</v>
      </c>
      <c r="C398">
        <f>ChugachRAW!C398</f>
        <v>0</v>
      </c>
      <c r="D398">
        <f>ChugachRAW!D398</f>
        <v>0</v>
      </c>
      <c r="E398">
        <f>ChugachRAW!F398</f>
        <v>0</v>
      </c>
      <c r="F398">
        <f>ChugachRAW!G398</f>
        <v>0</v>
      </c>
    </row>
    <row r="399" spans="1:6" x14ac:dyDescent="0.2">
      <c r="A399" t="s">
        <v>330</v>
      </c>
      <c r="B399">
        <f>ChugachRAW!A399</f>
        <v>0</v>
      </c>
      <c r="C399">
        <f>ChugachRAW!C399</f>
        <v>0</v>
      </c>
      <c r="D399">
        <f>ChugachRAW!D399</f>
        <v>0</v>
      </c>
      <c r="E399">
        <f>ChugachRAW!F399</f>
        <v>0</v>
      </c>
      <c r="F399">
        <f>ChugachRAW!G399</f>
        <v>0</v>
      </c>
    </row>
    <row r="400" spans="1:6" x14ac:dyDescent="0.2">
      <c r="A400" t="s">
        <v>330</v>
      </c>
      <c r="B400">
        <f>ChugachRAW!A400</f>
        <v>0</v>
      </c>
      <c r="C400">
        <f>ChugachRAW!C400</f>
        <v>0</v>
      </c>
      <c r="D400">
        <f>ChugachRAW!D400</f>
        <v>0</v>
      </c>
      <c r="E400">
        <f>ChugachRAW!F400</f>
        <v>0</v>
      </c>
      <c r="F400">
        <f>ChugachRAW!G400</f>
        <v>0</v>
      </c>
    </row>
    <row r="401" spans="1:6" x14ac:dyDescent="0.2">
      <c r="A401" t="s">
        <v>331</v>
      </c>
      <c r="B401">
        <f>TongassRAW!B2</f>
        <v>2011</v>
      </c>
      <c r="C401" t="str">
        <f>TongassRAW!C2</f>
        <v>Personal use</v>
      </c>
      <c r="D401" t="str">
        <f>TongassRAW!D2</f>
        <v>Chinook</v>
      </c>
      <c r="E401">
        <f>TongassRAW!J2</f>
        <v>2.0269630035703701</v>
      </c>
      <c r="F401">
        <f>TongassRAW!K2</f>
        <v>3.92592592592593</v>
      </c>
    </row>
    <row r="402" spans="1:6" x14ac:dyDescent="0.2">
      <c r="A402" t="s">
        <v>331</v>
      </c>
      <c r="B402">
        <f>TongassRAW!B3</f>
        <v>2012</v>
      </c>
      <c r="C402" t="str">
        <f>TongassRAW!C3</f>
        <v>Personal use</v>
      </c>
      <c r="D402" t="str">
        <f>TongassRAW!D3</f>
        <v>Chinook</v>
      </c>
      <c r="E402">
        <f>TongassRAW!J3</f>
        <v>1.6213476370153801</v>
      </c>
      <c r="F402">
        <f>TongassRAW!K3</f>
        <v>3</v>
      </c>
    </row>
    <row r="403" spans="1:6" x14ac:dyDescent="0.2">
      <c r="A403" t="s">
        <v>331</v>
      </c>
      <c r="B403">
        <f>TongassRAW!B4</f>
        <v>2013</v>
      </c>
      <c r="C403" t="str">
        <f>TongassRAW!C4</f>
        <v>Personal use</v>
      </c>
      <c r="D403" t="str">
        <f>TongassRAW!D4</f>
        <v>Chinook</v>
      </c>
      <c r="E403">
        <f>TongassRAW!J4</f>
        <v>18.245131714399999</v>
      </c>
      <c r="F403">
        <f>TongassRAW!K4</f>
        <v>29</v>
      </c>
    </row>
    <row r="404" spans="1:6" x14ac:dyDescent="0.2">
      <c r="A404" t="s">
        <v>331</v>
      </c>
      <c r="B404">
        <f>TongassRAW!B5</f>
        <v>2014</v>
      </c>
      <c r="C404" t="str">
        <f>TongassRAW!C5</f>
        <v>Personal use</v>
      </c>
      <c r="D404" t="str">
        <f>TongassRAW!D5</f>
        <v>Chinook</v>
      </c>
      <c r="E404">
        <f>TongassRAW!J5</f>
        <v>16.124648542199999</v>
      </c>
      <c r="F404">
        <f>TongassRAW!K5</f>
        <v>27</v>
      </c>
    </row>
    <row r="405" spans="1:6" x14ac:dyDescent="0.2">
      <c r="A405" t="s">
        <v>331</v>
      </c>
      <c r="B405">
        <f>TongassRAW!B6</f>
        <v>2015</v>
      </c>
      <c r="C405" t="str">
        <f>TongassRAW!C6</f>
        <v>Personal use</v>
      </c>
      <c r="D405" t="str">
        <f>TongassRAW!D6</f>
        <v>Chinook</v>
      </c>
      <c r="E405">
        <f>TongassRAW!J6</f>
        <v>25.216383908600001</v>
      </c>
      <c r="F405">
        <f>TongassRAW!K6</f>
        <v>41</v>
      </c>
    </row>
    <row r="406" spans="1:6" x14ac:dyDescent="0.2">
      <c r="A406" t="s">
        <v>331</v>
      </c>
      <c r="B406">
        <f>TongassRAW!B7</f>
        <v>2016</v>
      </c>
      <c r="C406" t="str">
        <f>TongassRAW!C7</f>
        <v>Personal use</v>
      </c>
      <c r="D406" t="str">
        <f>TongassRAW!D7</f>
        <v>Chinook</v>
      </c>
      <c r="E406">
        <f>TongassRAW!J7</f>
        <v>27.544770572800001</v>
      </c>
      <c r="F406">
        <f>TongassRAW!K7</f>
        <v>57</v>
      </c>
    </row>
    <row r="407" spans="1:6" x14ac:dyDescent="0.2">
      <c r="A407" t="s">
        <v>331</v>
      </c>
      <c r="B407">
        <f>TongassRAW!B8</f>
        <v>2017</v>
      </c>
      <c r="C407" t="str">
        <f>TongassRAW!C8</f>
        <v>Personal use</v>
      </c>
      <c r="D407" t="str">
        <f>TongassRAW!D8</f>
        <v>Chinook</v>
      </c>
      <c r="E407">
        <f>TongassRAW!J8</f>
        <v>1.1112924446000001</v>
      </c>
      <c r="F407">
        <f>TongassRAW!K8</f>
        <v>2</v>
      </c>
    </row>
    <row r="408" spans="1:6" x14ac:dyDescent="0.2">
      <c r="A408" t="s">
        <v>331</v>
      </c>
      <c r="B408">
        <f>TongassRAW!B9</f>
        <v>2018</v>
      </c>
      <c r="C408" t="str">
        <f>TongassRAW!C9</f>
        <v>Personal use</v>
      </c>
      <c r="D408" t="str">
        <f>TongassRAW!D9</f>
        <v>Chinook</v>
      </c>
      <c r="E408">
        <f>TongassRAW!J9</f>
        <v>8.0361991583000005</v>
      </c>
      <c r="F408">
        <f>TongassRAW!K9</f>
        <v>24</v>
      </c>
    </row>
    <row r="409" spans="1:6" x14ac:dyDescent="0.2">
      <c r="A409" t="s">
        <v>331</v>
      </c>
      <c r="B409">
        <f>TongassRAW!B10</f>
        <v>2019</v>
      </c>
      <c r="C409" t="str">
        <f>TongassRAW!C10</f>
        <v>Personal use</v>
      </c>
      <c r="D409" t="str">
        <f>TongassRAW!D10</f>
        <v>Chinook</v>
      </c>
      <c r="E409">
        <f>TongassRAW!J10</f>
        <v>17.319016215000001</v>
      </c>
      <c r="F409">
        <f>TongassRAW!K10</f>
        <v>89</v>
      </c>
    </row>
    <row r="410" spans="1:6" x14ac:dyDescent="0.2">
      <c r="A410" t="s">
        <v>331</v>
      </c>
      <c r="B410">
        <f>TongassRAW!B11</f>
        <v>2020</v>
      </c>
      <c r="C410" t="str">
        <f>TongassRAW!C11</f>
        <v>Personal use</v>
      </c>
      <c r="D410" t="str">
        <f>TongassRAW!D11</f>
        <v>Chinook</v>
      </c>
      <c r="E410">
        <f>TongassRAW!J11</f>
        <v>12.4677123415</v>
      </c>
      <c r="F410">
        <f>TongassRAW!K11</f>
        <v>27.3</v>
      </c>
    </row>
    <row r="411" spans="1:6" x14ac:dyDescent="0.2">
      <c r="A411" t="s">
        <v>331</v>
      </c>
      <c r="B411">
        <f>TongassRAW!B12</f>
        <v>2011</v>
      </c>
      <c r="C411" t="str">
        <f>TongassRAW!C12</f>
        <v>Personal use</v>
      </c>
      <c r="D411" t="str">
        <f>TongassRAW!D12</f>
        <v>Chum</v>
      </c>
      <c r="E411">
        <f>TongassRAW!J12</f>
        <v>263.87037383979998</v>
      </c>
      <c r="F411">
        <f>TongassRAW!K12</f>
        <v>278</v>
      </c>
    </row>
    <row r="412" spans="1:6" x14ac:dyDescent="0.2">
      <c r="A412" t="s">
        <v>331</v>
      </c>
      <c r="B412">
        <f>TongassRAW!B13</f>
        <v>2012</v>
      </c>
      <c r="C412" t="str">
        <f>TongassRAW!C13</f>
        <v>Personal use</v>
      </c>
      <c r="D412" t="str">
        <f>TongassRAW!D13</f>
        <v>Chum</v>
      </c>
      <c r="E412">
        <f>TongassRAW!J13</f>
        <v>295.62068809819999</v>
      </c>
      <c r="F412">
        <f>TongassRAW!K13</f>
        <v>310</v>
      </c>
    </row>
    <row r="413" spans="1:6" x14ac:dyDescent="0.2">
      <c r="A413" t="s">
        <v>331</v>
      </c>
      <c r="B413">
        <f>TongassRAW!B14</f>
        <v>2013</v>
      </c>
      <c r="C413" t="str">
        <f>TongassRAW!C14</f>
        <v>Personal use</v>
      </c>
      <c r="D413" t="str">
        <f>TongassRAW!D14</f>
        <v>Chum</v>
      </c>
      <c r="E413">
        <f>TongassRAW!J14</f>
        <v>344.47795264400003</v>
      </c>
      <c r="F413">
        <f>TongassRAW!K14</f>
        <v>370</v>
      </c>
    </row>
    <row r="414" spans="1:6" x14ac:dyDescent="0.2">
      <c r="A414" t="s">
        <v>331</v>
      </c>
      <c r="B414">
        <f>TongassRAW!B15</f>
        <v>2014</v>
      </c>
      <c r="C414" t="str">
        <f>TongassRAW!C15</f>
        <v>Personal use</v>
      </c>
      <c r="D414" t="str">
        <f>TongassRAW!D15</f>
        <v>Chum</v>
      </c>
      <c r="E414">
        <f>TongassRAW!J15</f>
        <v>196.46413390500001</v>
      </c>
      <c r="F414">
        <f>TongassRAW!K15</f>
        <v>209</v>
      </c>
    </row>
    <row r="415" spans="1:6" x14ac:dyDescent="0.2">
      <c r="A415" t="s">
        <v>331</v>
      </c>
      <c r="B415">
        <f>TongassRAW!B16</f>
        <v>2015</v>
      </c>
      <c r="C415" t="str">
        <f>TongassRAW!C16</f>
        <v>Personal use</v>
      </c>
      <c r="D415" t="str">
        <f>TongassRAW!D16</f>
        <v>Chum</v>
      </c>
      <c r="E415">
        <f>TongassRAW!J16</f>
        <v>278.8919990357</v>
      </c>
      <c r="F415">
        <f>TongassRAW!K16</f>
        <v>286</v>
      </c>
    </row>
    <row r="416" spans="1:6" x14ac:dyDescent="0.2">
      <c r="A416" t="s">
        <v>331</v>
      </c>
      <c r="B416">
        <f>TongassRAW!B17</f>
        <v>2016</v>
      </c>
      <c r="C416" t="str">
        <f>TongassRAW!C17</f>
        <v>Personal use</v>
      </c>
      <c r="D416" t="str">
        <f>TongassRAW!D17</f>
        <v>Chum</v>
      </c>
      <c r="E416">
        <f>TongassRAW!J17</f>
        <v>414.86846243600002</v>
      </c>
      <c r="F416">
        <f>TongassRAW!K17</f>
        <v>433</v>
      </c>
    </row>
    <row r="417" spans="1:6" x14ac:dyDescent="0.2">
      <c r="A417" t="s">
        <v>331</v>
      </c>
      <c r="B417">
        <f>TongassRAW!B18</f>
        <v>2017</v>
      </c>
      <c r="C417" t="str">
        <f>TongassRAW!C18</f>
        <v>Personal use</v>
      </c>
      <c r="D417" t="str">
        <f>TongassRAW!D18</f>
        <v>Chum</v>
      </c>
      <c r="E417">
        <f>TongassRAW!J18</f>
        <v>169.16431988900001</v>
      </c>
      <c r="F417">
        <f>TongassRAW!K18</f>
        <v>185</v>
      </c>
    </row>
    <row r="418" spans="1:6" x14ac:dyDescent="0.2">
      <c r="A418" t="s">
        <v>331</v>
      </c>
      <c r="B418">
        <f>TongassRAW!B19</f>
        <v>2018</v>
      </c>
      <c r="C418" t="str">
        <f>TongassRAW!C19</f>
        <v>Personal use</v>
      </c>
      <c r="D418" t="str">
        <f>TongassRAW!D19</f>
        <v>Chum</v>
      </c>
      <c r="E418">
        <f>TongassRAW!J19</f>
        <v>576.89734213429995</v>
      </c>
      <c r="F418">
        <f>TongassRAW!K19</f>
        <v>951</v>
      </c>
    </row>
    <row r="419" spans="1:6" x14ac:dyDescent="0.2">
      <c r="A419" t="s">
        <v>331</v>
      </c>
      <c r="B419">
        <f>TongassRAW!B20</f>
        <v>2019</v>
      </c>
      <c r="C419" t="str">
        <f>TongassRAW!C20</f>
        <v>Personal use</v>
      </c>
      <c r="D419" t="str">
        <f>TongassRAW!D20</f>
        <v>Chum</v>
      </c>
      <c r="E419">
        <f>TongassRAW!J20</f>
        <v>120.8323091461</v>
      </c>
      <c r="F419">
        <f>TongassRAW!K20</f>
        <v>149.63</v>
      </c>
    </row>
    <row r="420" spans="1:6" x14ac:dyDescent="0.2">
      <c r="A420" t="s">
        <v>331</v>
      </c>
      <c r="B420">
        <f>TongassRAW!B21</f>
        <v>2020</v>
      </c>
      <c r="C420" t="str">
        <f>TongassRAW!C21</f>
        <v>Personal use</v>
      </c>
      <c r="D420" t="str">
        <f>TongassRAW!D21</f>
        <v>Chum</v>
      </c>
      <c r="E420">
        <f>TongassRAW!J21</f>
        <v>4.3970705344100001</v>
      </c>
      <c r="F420">
        <f>TongassRAW!K21</f>
        <v>4.8315000000000001</v>
      </c>
    </row>
    <row r="421" spans="1:6" x14ac:dyDescent="0.2">
      <c r="A421" t="s">
        <v>331</v>
      </c>
      <c r="B421">
        <f>TongassRAW!B22</f>
        <v>2011</v>
      </c>
      <c r="C421" t="str">
        <f>TongassRAW!C22</f>
        <v>Personal use</v>
      </c>
      <c r="D421" t="str">
        <f>TongassRAW!D22</f>
        <v>Coho</v>
      </c>
      <c r="E421">
        <f>TongassRAW!J22</f>
        <v>70.125360094794999</v>
      </c>
      <c r="F421">
        <f>TongassRAW!K22</f>
        <v>127.551867219917</v>
      </c>
    </row>
    <row r="422" spans="1:6" x14ac:dyDescent="0.2">
      <c r="A422" t="s">
        <v>331</v>
      </c>
      <c r="B422">
        <f>TongassRAW!B23</f>
        <v>2012</v>
      </c>
      <c r="C422" t="str">
        <f>TongassRAW!C23</f>
        <v>Personal use</v>
      </c>
      <c r="D422" t="str">
        <f>TongassRAW!D23</f>
        <v>Coho</v>
      </c>
      <c r="E422">
        <f>TongassRAW!J23</f>
        <v>63.599059975556102</v>
      </c>
      <c r="F422">
        <f>TongassRAW!K23</f>
        <v>116.198863636364</v>
      </c>
    </row>
    <row r="423" spans="1:6" x14ac:dyDescent="0.2">
      <c r="A423" t="s">
        <v>331</v>
      </c>
      <c r="B423">
        <f>TongassRAW!B24</f>
        <v>2013</v>
      </c>
      <c r="C423" t="str">
        <f>TongassRAW!C24</f>
        <v>Personal use</v>
      </c>
      <c r="D423" t="str">
        <f>TongassRAW!D24</f>
        <v>Coho</v>
      </c>
      <c r="E423">
        <f>TongassRAW!J24</f>
        <v>181.58128917880001</v>
      </c>
      <c r="F423">
        <f>TongassRAW!K24</f>
        <v>309</v>
      </c>
    </row>
    <row r="424" spans="1:6" x14ac:dyDescent="0.2">
      <c r="A424" t="s">
        <v>331</v>
      </c>
      <c r="B424">
        <f>TongassRAW!B25</f>
        <v>2014</v>
      </c>
      <c r="C424" t="str">
        <f>TongassRAW!C25</f>
        <v>Personal use</v>
      </c>
      <c r="D424" t="str">
        <f>TongassRAW!D25</f>
        <v>Coho</v>
      </c>
      <c r="E424">
        <f>TongassRAW!J25</f>
        <v>102.300965657855</v>
      </c>
      <c r="F424">
        <f>TongassRAW!K25</f>
        <v>197.25451807228899</v>
      </c>
    </row>
    <row r="425" spans="1:6" x14ac:dyDescent="0.2">
      <c r="A425" t="s">
        <v>331</v>
      </c>
      <c r="B425">
        <f>TongassRAW!B26</f>
        <v>2015</v>
      </c>
      <c r="C425" t="str">
        <f>TongassRAW!C26</f>
        <v>Personal use</v>
      </c>
      <c r="D425" t="str">
        <f>TongassRAW!D26</f>
        <v>Coho</v>
      </c>
      <c r="E425">
        <f>TongassRAW!J26</f>
        <v>151.3564818971</v>
      </c>
      <c r="F425">
        <f>TongassRAW!K26</f>
        <v>285</v>
      </c>
    </row>
    <row r="426" spans="1:6" x14ac:dyDescent="0.2">
      <c r="A426" t="s">
        <v>331</v>
      </c>
      <c r="B426">
        <f>TongassRAW!B27</f>
        <v>2016</v>
      </c>
      <c r="C426" t="str">
        <f>TongassRAW!C27</f>
        <v>Personal use</v>
      </c>
      <c r="D426" t="str">
        <f>TongassRAW!D27</f>
        <v>Coho</v>
      </c>
      <c r="E426">
        <f>TongassRAW!J27</f>
        <v>105.3549457294</v>
      </c>
      <c r="F426">
        <f>TongassRAW!K27</f>
        <v>193</v>
      </c>
    </row>
    <row r="427" spans="1:6" x14ac:dyDescent="0.2">
      <c r="A427" t="s">
        <v>331</v>
      </c>
      <c r="B427">
        <f>TongassRAW!B28</f>
        <v>2017</v>
      </c>
      <c r="C427" t="str">
        <f>TongassRAW!C28</f>
        <v>Personal use</v>
      </c>
      <c r="D427" t="str">
        <f>TongassRAW!D28</f>
        <v>Coho</v>
      </c>
      <c r="E427">
        <f>TongassRAW!J28</f>
        <v>4.8184446672450001</v>
      </c>
      <c r="F427">
        <f>TongassRAW!K28</f>
        <v>9.5000000000000107</v>
      </c>
    </row>
    <row r="428" spans="1:6" x14ac:dyDescent="0.2">
      <c r="A428" t="s">
        <v>331</v>
      </c>
      <c r="B428">
        <f>TongassRAW!B29</f>
        <v>2018</v>
      </c>
      <c r="C428" t="str">
        <f>TongassRAW!C29</f>
        <v>Personal use</v>
      </c>
      <c r="D428" t="str">
        <f>TongassRAW!D29</f>
        <v>Coho</v>
      </c>
      <c r="E428">
        <f>TongassRAW!J29</f>
        <v>171.35596652980001</v>
      </c>
      <c r="F428">
        <f>TongassRAW!K29</f>
        <v>303</v>
      </c>
    </row>
    <row r="429" spans="1:6" x14ac:dyDescent="0.2">
      <c r="A429" t="s">
        <v>331</v>
      </c>
      <c r="B429">
        <f>TongassRAW!B30</f>
        <v>2019</v>
      </c>
      <c r="C429" t="str">
        <f>TongassRAW!C30</f>
        <v>Personal use</v>
      </c>
      <c r="D429" t="str">
        <f>TongassRAW!D30</f>
        <v>Coho</v>
      </c>
      <c r="E429">
        <f>TongassRAW!J30</f>
        <v>299.466636508877</v>
      </c>
      <c r="F429">
        <f>TongassRAW!K30</f>
        <v>444.050652741514</v>
      </c>
    </row>
    <row r="430" spans="1:6" x14ac:dyDescent="0.2">
      <c r="A430" t="s">
        <v>331</v>
      </c>
      <c r="B430">
        <f>TongassRAW!B31</f>
        <v>2020</v>
      </c>
      <c r="C430" t="str">
        <f>TongassRAW!C31</f>
        <v>Personal use</v>
      </c>
      <c r="D430" t="str">
        <f>TongassRAW!D31</f>
        <v>Coho</v>
      </c>
      <c r="E430">
        <f>TongassRAW!J31</f>
        <v>202.280589854395</v>
      </c>
      <c r="F430">
        <f>TongassRAW!K31</f>
        <v>325.97183520599202</v>
      </c>
    </row>
    <row r="431" spans="1:6" x14ac:dyDescent="0.2">
      <c r="A431" t="s">
        <v>331</v>
      </c>
      <c r="B431">
        <f>TongassRAW!B32</f>
        <v>2011</v>
      </c>
      <c r="C431" t="str">
        <f>TongassRAW!C32</f>
        <v>Personal use</v>
      </c>
      <c r="D431" t="str">
        <f>TongassRAW!D32</f>
        <v>Pink</v>
      </c>
      <c r="E431">
        <f>TongassRAW!J32</f>
        <v>786.85251700159995</v>
      </c>
      <c r="F431">
        <f>TongassRAW!K32</f>
        <v>1252</v>
      </c>
    </row>
    <row r="432" spans="1:6" x14ac:dyDescent="0.2">
      <c r="A432" t="s">
        <v>331</v>
      </c>
      <c r="B432">
        <f>TongassRAW!B33</f>
        <v>2012</v>
      </c>
      <c r="C432" t="str">
        <f>TongassRAW!C33</f>
        <v>Personal use</v>
      </c>
      <c r="D432" t="str">
        <f>TongassRAW!D33</f>
        <v>Pink</v>
      </c>
      <c r="E432">
        <f>TongassRAW!J33</f>
        <v>404.5316257568</v>
      </c>
      <c r="F432">
        <f>TongassRAW!K33</f>
        <v>518</v>
      </c>
    </row>
    <row r="433" spans="1:6" x14ac:dyDescent="0.2">
      <c r="A433" t="s">
        <v>331</v>
      </c>
      <c r="B433">
        <f>TongassRAW!B34</f>
        <v>2013</v>
      </c>
      <c r="C433" t="str">
        <f>TongassRAW!C34</f>
        <v>Personal use</v>
      </c>
      <c r="D433" t="str">
        <f>TongassRAW!D34</f>
        <v>Pink</v>
      </c>
      <c r="E433">
        <f>TongassRAW!J34</f>
        <v>525.97908932580003</v>
      </c>
      <c r="F433">
        <f>TongassRAW!K34</f>
        <v>622</v>
      </c>
    </row>
    <row r="434" spans="1:6" x14ac:dyDescent="0.2">
      <c r="A434" t="s">
        <v>331</v>
      </c>
      <c r="B434">
        <f>TongassRAW!B35</f>
        <v>2014</v>
      </c>
      <c r="C434" t="str">
        <f>TongassRAW!C35</f>
        <v>Personal use</v>
      </c>
      <c r="D434" t="str">
        <f>TongassRAW!D35</f>
        <v>Pink</v>
      </c>
      <c r="E434">
        <f>TongassRAW!J35</f>
        <v>301.8891146565</v>
      </c>
      <c r="F434">
        <f>TongassRAW!K35</f>
        <v>387</v>
      </c>
    </row>
    <row r="435" spans="1:6" x14ac:dyDescent="0.2">
      <c r="A435" t="s">
        <v>331</v>
      </c>
      <c r="B435">
        <f>TongassRAW!B36</f>
        <v>2015</v>
      </c>
      <c r="C435" t="str">
        <f>TongassRAW!C36</f>
        <v>Personal use</v>
      </c>
      <c r="D435" t="str">
        <f>TongassRAW!D36</f>
        <v>Pink</v>
      </c>
      <c r="E435">
        <f>TongassRAW!J36</f>
        <v>527.11594983129999</v>
      </c>
      <c r="F435">
        <f>TongassRAW!K36</f>
        <v>778</v>
      </c>
    </row>
    <row r="436" spans="1:6" x14ac:dyDescent="0.2">
      <c r="A436" t="s">
        <v>331</v>
      </c>
      <c r="B436">
        <f>TongassRAW!B37</f>
        <v>2016</v>
      </c>
      <c r="C436" t="str">
        <f>TongassRAW!C37</f>
        <v>Personal use</v>
      </c>
      <c r="D436" t="str">
        <f>TongassRAW!D37</f>
        <v>Pink</v>
      </c>
      <c r="E436">
        <f>TongassRAW!J37</f>
        <v>622.79437000200005</v>
      </c>
      <c r="F436">
        <f>TongassRAW!K37</f>
        <v>906</v>
      </c>
    </row>
    <row r="437" spans="1:6" x14ac:dyDescent="0.2">
      <c r="A437" t="s">
        <v>331</v>
      </c>
      <c r="B437">
        <f>TongassRAW!B38</f>
        <v>2017</v>
      </c>
      <c r="C437" t="str">
        <f>TongassRAW!C38</f>
        <v>Personal use</v>
      </c>
      <c r="D437" t="str">
        <f>TongassRAW!D38</f>
        <v>Pink</v>
      </c>
      <c r="E437">
        <f>TongassRAW!J38</f>
        <v>230.54415901620001</v>
      </c>
      <c r="F437">
        <f>TongassRAW!K38</f>
        <v>395</v>
      </c>
    </row>
    <row r="438" spans="1:6" x14ac:dyDescent="0.2">
      <c r="A438" t="s">
        <v>331</v>
      </c>
      <c r="B438">
        <f>TongassRAW!B39</f>
        <v>2018</v>
      </c>
      <c r="C438" t="str">
        <f>TongassRAW!C39</f>
        <v>Personal use</v>
      </c>
      <c r="D438" t="str">
        <f>TongassRAW!D39</f>
        <v>Pink</v>
      </c>
      <c r="E438">
        <f>TongassRAW!J39</f>
        <v>187.74059773350001</v>
      </c>
      <c r="F438">
        <f>TongassRAW!K39</f>
        <v>270</v>
      </c>
    </row>
    <row r="439" spans="1:6" x14ac:dyDescent="0.2">
      <c r="A439" t="s">
        <v>331</v>
      </c>
      <c r="B439">
        <f>TongassRAW!B40</f>
        <v>2019</v>
      </c>
      <c r="C439" t="str">
        <f>TongassRAW!C40</f>
        <v>Personal use</v>
      </c>
      <c r="D439" t="str">
        <f>TongassRAW!D40</f>
        <v>Pink</v>
      </c>
      <c r="E439">
        <f>TongassRAW!J40</f>
        <v>144.03249563070801</v>
      </c>
      <c r="F439">
        <f>TongassRAW!K40</f>
        <v>229.48358490566</v>
      </c>
    </row>
    <row r="440" spans="1:6" x14ac:dyDescent="0.2">
      <c r="A440" t="s">
        <v>331</v>
      </c>
      <c r="B440">
        <f>TongassRAW!B41</f>
        <v>2020</v>
      </c>
      <c r="C440" t="str">
        <f>TongassRAW!C41</f>
        <v>Personal use</v>
      </c>
      <c r="D440" t="str">
        <f>TongassRAW!D41</f>
        <v>Pink</v>
      </c>
      <c r="E440">
        <f>TongassRAW!J41</f>
        <v>415.674500855708</v>
      </c>
      <c r="F440">
        <f>TongassRAW!K41</f>
        <v>486.60251121076197</v>
      </c>
    </row>
    <row r="441" spans="1:6" x14ac:dyDescent="0.2">
      <c r="A441" t="s">
        <v>331</v>
      </c>
      <c r="B441">
        <f>TongassRAW!B42</f>
        <v>2011</v>
      </c>
      <c r="C441" t="str">
        <f>TongassRAW!C42</f>
        <v>Personal use</v>
      </c>
      <c r="D441" t="str">
        <f>TongassRAW!D42</f>
        <v>Sockeye</v>
      </c>
      <c r="E441">
        <f>TongassRAW!J42</f>
        <v>2074.85381503279</v>
      </c>
      <c r="F441">
        <f>TongassRAW!K42</f>
        <v>2790</v>
      </c>
    </row>
    <row r="442" spans="1:6" x14ac:dyDescent="0.2">
      <c r="A442" t="s">
        <v>331</v>
      </c>
      <c r="B442">
        <f>TongassRAW!B43</f>
        <v>2012</v>
      </c>
      <c r="C442" t="str">
        <f>TongassRAW!C43</f>
        <v>Personal use</v>
      </c>
      <c r="D442" t="str">
        <f>TongassRAW!D43</f>
        <v>Sockeye</v>
      </c>
      <c r="E442">
        <f>TongassRAW!J43</f>
        <v>2078.9323259175299</v>
      </c>
      <c r="F442">
        <f>TongassRAW!K43</f>
        <v>3028</v>
      </c>
    </row>
    <row r="443" spans="1:6" x14ac:dyDescent="0.2">
      <c r="A443" t="s">
        <v>331</v>
      </c>
      <c r="B443">
        <f>TongassRAW!B44</f>
        <v>2013</v>
      </c>
      <c r="C443" t="str">
        <f>TongassRAW!C44</f>
        <v>Personal use</v>
      </c>
      <c r="D443" t="str">
        <f>TongassRAW!D44</f>
        <v>Sockeye</v>
      </c>
      <c r="E443">
        <f>TongassRAW!J44</f>
        <v>1805.10899305014</v>
      </c>
      <c r="F443">
        <f>TongassRAW!K44</f>
        <v>2736</v>
      </c>
    </row>
    <row r="444" spans="1:6" x14ac:dyDescent="0.2">
      <c r="A444" t="s">
        <v>331</v>
      </c>
      <c r="B444">
        <f>TongassRAW!B45</f>
        <v>2014</v>
      </c>
      <c r="C444" t="str">
        <f>TongassRAW!C45</f>
        <v>Personal use</v>
      </c>
      <c r="D444" t="str">
        <f>TongassRAW!D45</f>
        <v>Sockeye</v>
      </c>
      <c r="E444">
        <f>TongassRAW!J45</f>
        <v>2183.5697238452999</v>
      </c>
      <c r="F444">
        <f>TongassRAW!K45</f>
        <v>3057.0954216867499</v>
      </c>
    </row>
    <row r="445" spans="1:6" x14ac:dyDescent="0.2">
      <c r="A445" t="s">
        <v>331</v>
      </c>
      <c r="B445">
        <f>TongassRAW!B46</f>
        <v>2015</v>
      </c>
      <c r="C445" t="str">
        <f>TongassRAW!C46</f>
        <v>Personal use</v>
      </c>
      <c r="D445" t="str">
        <f>TongassRAW!D46</f>
        <v>Sockeye</v>
      </c>
      <c r="E445">
        <f>TongassRAW!J46</f>
        <v>2125.1028559855399</v>
      </c>
      <c r="F445">
        <f>TongassRAW!K46</f>
        <v>2854</v>
      </c>
    </row>
    <row r="446" spans="1:6" x14ac:dyDescent="0.2">
      <c r="A446" t="s">
        <v>331</v>
      </c>
      <c r="B446">
        <f>TongassRAW!B47</f>
        <v>2016</v>
      </c>
      <c r="C446" t="str">
        <f>TongassRAW!C47</f>
        <v>Personal use</v>
      </c>
      <c r="D446" t="str">
        <f>TongassRAW!D47</f>
        <v>Sockeye</v>
      </c>
      <c r="E446">
        <f>TongassRAW!J47</f>
        <v>1597.8690583815701</v>
      </c>
      <c r="F446">
        <f>TongassRAW!K47</f>
        <v>2404</v>
      </c>
    </row>
    <row r="447" spans="1:6" x14ac:dyDescent="0.2">
      <c r="A447" t="s">
        <v>331</v>
      </c>
      <c r="B447">
        <f>TongassRAW!B48</f>
        <v>2017</v>
      </c>
      <c r="C447" t="str">
        <f>TongassRAW!C48</f>
        <v>Personal use</v>
      </c>
      <c r="D447" t="str">
        <f>TongassRAW!D48</f>
        <v>Sockeye</v>
      </c>
      <c r="E447">
        <f>TongassRAW!J48</f>
        <v>1165.6140493498301</v>
      </c>
      <c r="F447">
        <f>TongassRAW!K48</f>
        <v>1778</v>
      </c>
    </row>
    <row r="448" spans="1:6" x14ac:dyDescent="0.2">
      <c r="A448" t="s">
        <v>331</v>
      </c>
      <c r="B448">
        <f>TongassRAW!B49</f>
        <v>2018</v>
      </c>
      <c r="C448" t="str">
        <f>TongassRAW!C49</f>
        <v>Personal use</v>
      </c>
      <c r="D448" t="str">
        <f>TongassRAW!D49</f>
        <v>Sockeye</v>
      </c>
      <c r="E448">
        <f>TongassRAW!J49</f>
        <v>705.92062512241205</v>
      </c>
      <c r="F448">
        <f>TongassRAW!K49</f>
        <v>1138</v>
      </c>
    </row>
    <row r="449" spans="1:6" x14ac:dyDescent="0.2">
      <c r="A449" t="s">
        <v>331</v>
      </c>
      <c r="B449">
        <f>TongassRAW!B50</f>
        <v>2019</v>
      </c>
      <c r="C449" t="str">
        <f>TongassRAW!C50</f>
        <v>Personal use</v>
      </c>
      <c r="D449" t="str">
        <f>TongassRAW!D50</f>
        <v>Sockeye</v>
      </c>
      <c r="E449">
        <f>TongassRAW!J50</f>
        <v>1454.60264831311</v>
      </c>
      <c r="F449">
        <f>TongassRAW!K50</f>
        <v>2341.27962912463</v>
      </c>
    </row>
    <row r="450" spans="1:6" x14ac:dyDescent="0.2">
      <c r="A450" t="s">
        <v>331</v>
      </c>
      <c r="B450">
        <f>TongassRAW!B51</f>
        <v>2020</v>
      </c>
      <c r="C450" t="str">
        <f>TongassRAW!C51</f>
        <v>Personal use</v>
      </c>
      <c r="D450" t="str">
        <f>TongassRAW!D51</f>
        <v>Sockeye</v>
      </c>
      <c r="E450">
        <f>TongassRAW!J51</f>
        <v>951.35837133373298</v>
      </c>
      <c r="F450">
        <f>TongassRAW!K51</f>
        <v>1519.6953263274299</v>
      </c>
    </row>
    <row r="451" spans="1:6" x14ac:dyDescent="0.2">
      <c r="A451" t="s">
        <v>331</v>
      </c>
      <c r="B451">
        <f>TongassRAW!B52</f>
        <v>2011</v>
      </c>
      <c r="C451" t="str">
        <f>TongassRAW!C52</f>
        <v>Sport</v>
      </c>
      <c r="D451" t="str">
        <f>TongassRAW!D52</f>
        <v>Chinook</v>
      </c>
      <c r="E451">
        <f>TongassRAW!J52</f>
        <v>18630.475065341299</v>
      </c>
      <c r="F451">
        <f>TongassRAW!K52</f>
        <v>18797.010068043601</v>
      </c>
    </row>
    <row r="452" spans="1:6" x14ac:dyDescent="0.2">
      <c r="A452" t="s">
        <v>331</v>
      </c>
      <c r="B452">
        <f>TongassRAW!B53</f>
        <v>2012</v>
      </c>
      <c r="C452" t="str">
        <f>TongassRAW!C53</f>
        <v>Sport</v>
      </c>
      <c r="D452" t="str">
        <f>TongassRAW!D53</f>
        <v>Chinook</v>
      </c>
      <c r="E452">
        <f>TongassRAW!J53</f>
        <v>12855.241343052799</v>
      </c>
      <c r="F452">
        <f>TongassRAW!K53</f>
        <v>12870.7699268739</v>
      </c>
    </row>
    <row r="453" spans="1:6" x14ac:dyDescent="0.2">
      <c r="A453" t="s">
        <v>331</v>
      </c>
      <c r="B453">
        <f>TongassRAW!B54</f>
        <v>2013</v>
      </c>
      <c r="C453" t="str">
        <f>TongassRAW!C54</f>
        <v>Sport</v>
      </c>
      <c r="D453" t="str">
        <f>TongassRAW!D54</f>
        <v>Chinook</v>
      </c>
      <c r="E453">
        <f>TongassRAW!J54</f>
        <v>12682.130012977001</v>
      </c>
      <c r="F453">
        <f>TongassRAW!K54</f>
        <v>12940.747440732201</v>
      </c>
    </row>
    <row r="454" spans="1:6" x14ac:dyDescent="0.2">
      <c r="A454" t="s">
        <v>331</v>
      </c>
      <c r="B454">
        <f>TongassRAW!B55</f>
        <v>2014</v>
      </c>
      <c r="C454" t="str">
        <f>TongassRAW!C55</f>
        <v>Sport</v>
      </c>
      <c r="D454" t="str">
        <f>TongassRAW!D55</f>
        <v>Chinook</v>
      </c>
      <c r="E454">
        <f>TongassRAW!J55</f>
        <v>29941.309438873399</v>
      </c>
      <c r="F454">
        <f>TongassRAW!K55</f>
        <v>30258.934438361099</v>
      </c>
    </row>
    <row r="455" spans="1:6" x14ac:dyDescent="0.2">
      <c r="A455" t="s">
        <v>331</v>
      </c>
      <c r="B455">
        <f>TongassRAW!B56</f>
        <v>2015</v>
      </c>
      <c r="C455" t="str">
        <f>TongassRAW!C56</f>
        <v>Sport</v>
      </c>
      <c r="D455" t="str">
        <f>TongassRAW!D56</f>
        <v>Chinook</v>
      </c>
      <c r="E455">
        <f>TongassRAW!J56</f>
        <v>22957.015192597701</v>
      </c>
      <c r="F455">
        <f>TongassRAW!K56</f>
        <v>23124.868968016199</v>
      </c>
    </row>
    <row r="456" spans="1:6" x14ac:dyDescent="0.2">
      <c r="A456" t="s">
        <v>331</v>
      </c>
      <c r="B456">
        <f>TongassRAW!B57</f>
        <v>2016</v>
      </c>
      <c r="C456" t="str">
        <f>TongassRAW!C57</f>
        <v>Sport</v>
      </c>
      <c r="D456" t="str">
        <f>TongassRAW!D57</f>
        <v>Chinook</v>
      </c>
      <c r="E456">
        <f>TongassRAW!J57</f>
        <v>21214.056187147798</v>
      </c>
      <c r="F456">
        <f>TongassRAW!K57</f>
        <v>21806.162732819299</v>
      </c>
    </row>
    <row r="457" spans="1:6" x14ac:dyDescent="0.2">
      <c r="A457" t="s">
        <v>331</v>
      </c>
      <c r="B457">
        <f>TongassRAW!B58</f>
        <v>2017</v>
      </c>
      <c r="C457" t="str">
        <f>TongassRAW!C58</f>
        <v>Sport</v>
      </c>
      <c r="D457" t="str">
        <f>TongassRAW!D58</f>
        <v>Chinook</v>
      </c>
      <c r="E457">
        <f>TongassRAW!J58</f>
        <v>16623.657584776502</v>
      </c>
      <c r="F457">
        <f>TongassRAW!K58</f>
        <v>16825.082211600999</v>
      </c>
    </row>
    <row r="458" spans="1:6" x14ac:dyDescent="0.2">
      <c r="A458" t="s">
        <v>331</v>
      </c>
      <c r="B458">
        <f>TongassRAW!B59</f>
        <v>2018</v>
      </c>
      <c r="C458" t="str">
        <f>TongassRAW!C59</f>
        <v>Sport</v>
      </c>
      <c r="D458" t="str">
        <f>TongassRAW!D59</f>
        <v>Chinook</v>
      </c>
      <c r="E458">
        <f>TongassRAW!J59</f>
        <v>7311.6785805396003</v>
      </c>
      <c r="F458">
        <f>TongassRAW!K59</f>
        <v>7645.1052629532396</v>
      </c>
    </row>
    <row r="459" spans="1:6" x14ac:dyDescent="0.2">
      <c r="A459" t="s">
        <v>331</v>
      </c>
      <c r="B459">
        <f>TongassRAW!B60</f>
        <v>2019</v>
      </c>
      <c r="C459" t="str">
        <f>TongassRAW!C60</f>
        <v>Sport</v>
      </c>
      <c r="D459" t="str">
        <f>TongassRAW!D60</f>
        <v>Chinook</v>
      </c>
      <c r="E459">
        <f>TongassRAW!J60</f>
        <v>8476.0113002647995</v>
      </c>
      <c r="F459">
        <f>TongassRAW!K60</f>
        <v>8694.0868772775593</v>
      </c>
    </row>
    <row r="460" spans="1:6" x14ac:dyDescent="0.2">
      <c r="A460" t="s">
        <v>331</v>
      </c>
      <c r="B460">
        <f>TongassRAW!B61</f>
        <v>2020</v>
      </c>
      <c r="C460" t="str">
        <f>TongassRAW!C61</f>
        <v>Sport</v>
      </c>
      <c r="D460" t="str">
        <f>TongassRAW!D61</f>
        <v>Chinook</v>
      </c>
      <c r="E460">
        <f>TongassRAW!J61</f>
        <v>11139.4205733252</v>
      </c>
      <c r="F460">
        <f>TongassRAW!K61</f>
        <v>11283.024901479699</v>
      </c>
    </row>
    <row r="461" spans="1:6" x14ac:dyDescent="0.2">
      <c r="A461" t="s">
        <v>331</v>
      </c>
      <c r="B461">
        <f>TongassRAW!B62</f>
        <v>2011</v>
      </c>
      <c r="C461" t="str">
        <f>TongassRAW!C62</f>
        <v>Sport</v>
      </c>
      <c r="D461" t="str">
        <f>TongassRAW!D62</f>
        <v>Chum</v>
      </c>
      <c r="E461">
        <f>TongassRAW!J62</f>
        <v>14483.2723294815</v>
      </c>
      <c r="F461">
        <f>TongassRAW!K62</f>
        <v>14634.277888979501</v>
      </c>
    </row>
    <row r="462" spans="1:6" x14ac:dyDescent="0.2">
      <c r="A462" t="s">
        <v>331</v>
      </c>
      <c r="B462">
        <f>TongassRAW!B63</f>
        <v>2012</v>
      </c>
      <c r="C462" t="str">
        <f>TongassRAW!C63</f>
        <v>Sport</v>
      </c>
      <c r="D462" t="str">
        <f>TongassRAW!D63</f>
        <v>Chum</v>
      </c>
      <c r="E462">
        <f>TongassRAW!J63</f>
        <v>4337.8767442557801</v>
      </c>
      <c r="F462">
        <f>TongassRAW!K63</f>
        <v>4419.5605416116296</v>
      </c>
    </row>
    <row r="463" spans="1:6" x14ac:dyDescent="0.2">
      <c r="A463" t="s">
        <v>331</v>
      </c>
      <c r="B463">
        <f>TongassRAW!B64</f>
        <v>2013</v>
      </c>
      <c r="C463" t="str">
        <f>TongassRAW!C64</f>
        <v>Sport</v>
      </c>
      <c r="D463" t="str">
        <f>TongassRAW!D64</f>
        <v>Chum</v>
      </c>
      <c r="E463">
        <f>TongassRAW!J64</f>
        <v>15853.122100299201</v>
      </c>
      <c r="F463">
        <f>TongassRAW!K64</f>
        <v>16097.192948865501</v>
      </c>
    </row>
    <row r="464" spans="1:6" x14ac:dyDescent="0.2">
      <c r="A464" t="s">
        <v>331</v>
      </c>
      <c r="B464">
        <f>TongassRAW!B65</f>
        <v>2014</v>
      </c>
      <c r="C464" t="str">
        <f>TongassRAW!C65</f>
        <v>Sport</v>
      </c>
      <c r="D464" t="str">
        <f>TongassRAW!D65</f>
        <v>Chum</v>
      </c>
      <c r="E464">
        <f>TongassRAW!J65</f>
        <v>5708.0024813883701</v>
      </c>
      <c r="F464">
        <f>TongassRAW!K65</f>
        <v>5932.4694240525196</v>
      </c>
    </row>
    <row r="465" spans="1:6" x14ac:dyDescent="0.2">
      <c r="A465" t="s">
        <v>331</v>
      </c>
      <c r="B465">
        <f>TongassRAW!B66</f>
        <v>2015</v>
      </c>
      <c r="C465" t="str">
        <f>TongassRAW!C66</f>
        <v>Sport</v>
      </c>
      <c r="D465" t="str">
        <f>TongassRAW!D66</f>
        <v>Chum</v>
      </c>
      <c r="E465">
        <f>TongassRAW!J66</f>
        <v>5823.4180473841898</v>
      </c>
      <c r="F465">
        <f>TongassRAW!K66</f>
        <v>5994.3654345837103</v>
      </c>
    </row>
    <row r="466" spans="1:6" x14ac:dyDescent="0.2">
      <c r="A466" t="s">
        <v>331</v>
      </c>
      <c r="B466">
        <f>TongassRAW!B67</f>
        <v>2016</v>
      </c>
      <c r="C466" t="str">
        <f>TongassRAW!C67</f>
        <v>Sport</v>
      </c>
      <c r="D466" t="str">
        <f>TongassRAW!D67</f>
        <v>Chum</v>
      </c>
      <c r="E466">
        <f>TongassRAW!J67</f>
        <v>6841.2835573185903</v>
      </c>
      <c r="F466">
        <f>TongassRAW!K67</f>
        <v>6928.5792415389697</v>
      </c>
    </row>
    <row r="467" spans="1:6" x14ac:dyDescent="0.2">
      <c r="A467" t="s">
        <v>331</v>
      </c>
      <c r="B467">
        <f>TongassRAW!B68</f>
        <v>2017</v>
      </c>
      <c r="C467" t="str">
        <f>TongassRAW!C68</f>
        <v>Sport</v>
      </c>
      <c r="D467" t="str">
        <f>TongassRAW!D68</f>
        <v>Chum</v>
      </c>
      <c r="E467">
        <f>TongassRAW!J68</f>
        <v>3806.9303493395</v>
      </c>
      <c r="F467">
        <f>TongassRAW!K68</f>
        <v>3944.2411080332399</v>
      </c>
    </row>
    <row r="468" spans="1:6" x14ac:dyDescent="0.2">
      <c r="A468" t="s">
        <v>331</v>
      </c>
      <c r="B468">
        <f>TongassRAW!B69</f>
        <v>2018</v>
      </c>
      <c r="C468" t="str">
        <f>TongassRAW!C69</f>
        <v>Sport</v>
      </c>
      <c r="D468" t="str">
        <f>TongassRAW!D69</f>
        <v>Chum</v>
      </c>
      <c r="E468">
        <f>TongassRAW!J69</f>
        <v>2033.4639574949299</v>
      </c>
      <c r="F468">
        <f>TongassRAW!K69</f>
        <v>2069.4091159772902</v>
      </c>
    </row>
    <row r="469" spans="1:6" x14ac:dyDescent="0.2">
      <c r="A469" t="s">
        <v>331</v>
      </c>
      <c r="B469">
        <f>TongassRAW!B70</f>
        <v>2019</v>
      </c>
      <c r="C469" t="str">
        <f>TongassRAW!C70</f>
        <v>Sport</v>
      </c>
      <c r="D469" t="str">
        <f>TongassRAW!D70</f>
        <v>Chum</v>
      </c>
      <c r="E469">
        <f>TongassRAW!J70</f>
        <v>6909.5224399170402</v>
      </c>
      <c r="F469">
        <f>TongassRAW!K70</f>
        <v>7050.9043297314602</v>
      </c>
    </row>
    <row r="470" spans="1:6" x14ac:dyDescent="0.2">
      <c r="A470" t="s">
        <v>331</v>
      </c>
      <c r="B470">
        <f>TongassRAW!B71</f>
        <v>2020</v>
      </c>
      <c r="C470" t="str">
        <f>TongassRAW!C71</f>
        <v>Sport</v>
      </c>
      <c r="D470" t="str">
        <f>TongassRAW!D71</f>
        <v>Chum</v>
      </c>
      <c r="E470">
        <f>TongassRAW!J71</f>
        <v>3383.3839992325402</v>
      </c>
      <c r="F470">
        <f>TongassRAW!K71</f>
        <v>3555.9690718954298</v>
      </c>
    </row>
    <row r="471" spans="1:6" x14ac:dyDescent="0.2">
      <c r="A471" t="s">
        <v>331</v>
      </c>
      <c r="B471">
        <f>TongassRAW!B72</f>
        <v>2011</v>
      </c>
      <c r="C471" t="str">
        <f>TongassRAW!C72</f>
        <v>Sport</v>
      </c>
      <c r="D471" t="str">
        <f>TongassRAW!D72</f>
        <v>Coho</v>
      </c>
      <c r="E471">
        <f>TongassRAW!J72</f>
        <v>135379.86017985901</v>
      </c>
      <c r="F471">
        <f>TongassRAW!K72</f>
        <v>136931.434995485</v>
      </c>
    </row>
    <row r="472" spans="1:6" x14ac:dyDescent="0.2">
      <c r="A472" t="s">
        <v>331</v>
      </c>
      <c r="B472">
        <f>TongassRAW!B73</f>
        <v>2012</v>
      </c>
      <c r="C472" t="str">
        <f>TongassRAW!C73</f>
        <v>Sport</v>
      </c>
      <c r="D472" t="str">
        <f>TongassRAW!D73</f>
        <v>Coho</v>
      </c>
      <c r="E472">
        <f>TongassRAW!J73</f>
        <v>135729.72623894899</v>
      </c>
      <c r="F472">
        <f>TongassRAW!K73</f>
        <v>137538.94491196299</v>
      </c>
    </row>
    <row r="473" spans="1:6" x14ac:dyDescent="0.2">
      <c r="A473" t="s">
        <v>331</v>
      </c>
      <c r="B473">
        <f>TongassRAW!B74</f>
        <v>2013</v>
      </c>
      <c r="C473" t="str">
        <f>TongassRAW!C74</f>
        <v>Sport</v>
      </c>
      <c r="D473" t="str">
        <f>TongassRAW!D74</f>
        <v>Coho</v>
      </c>
      <c r="E473">
        <f>TongassRAW!J74</f>
        <v>191155.572467972</v>
      </c>
      <c r="F473">
        <f>TongassRAW!K74</f>
        <v>192935.75996857701</v>
      </c>
    </row>
    <row r="474" spans="1:6" x14ac:dyDescent="0.2">
      <c r="A474" t="s">
        <v>331</v>
      </c>
      <c r="B474">
        <f>TongassRAW!B75</f>
        <v>2014</v>
      </c>
      <c r="C474" t="str">
        <f>TongassRAW!C75</f>
        <v>Sport</v>
      </c>
      <c r="D474" t="str">
        <f>TongassRAW!D75</f>
        <v>Coho</v>
      </c>
      <c r="E474">
        <f>TongassRAW!J75</f>
        <v>281137.31510453997</v>
      </c>
      <c r="F474">
        <f>TongassRAW!K75</f>
        <v>283375.10888408398</v>
      </c>
    </row>
    <row r="475" spans="1:6" x14ac:dyDescent="0.2">
      <c r="A475" t="s">
        <v>331</v>
      </c>
      <c r="B475">
        <f>TongassRAW!B76</f>
        <v>2015</v>
      </c>
      <c r="C475" t="str">
        <f>TongassRAW!C76</f>
        <v>Sport</v>
      </c>
      <c r="D475" t="str">
        <f>TongassRAW!D76</f>
        <v>Coho</v>
      </c>
      <c r="E475">
        <f>TongassRAW!J76</f>
        <v>215609.63191542399</v>
      </c>
      <c r="F475">
        <f>TongassRAW!K76</f>
        <v>219133.75132224799</v>
      </c>
    </row>
    <row r="476" spans="1:6" x14ac:dyDescent="0.2">
      <c r="A476" t="s">
        <v>331</v>
      </c>
      <c r="B476">
        <f>TongassRAW!B77</f>
        <v>2016</v>
      </c>
      <c r="C476" t="str">
        <f>TongassRAW!C77</f>
        <v>Sport</v>
      </c>
      <c r="D476" t="str">
        <f>TongassRAW!D77</f>
        <v>Coho</v>
      </c>
      <c r="E476">
        <f>TongassRAW!J77</f>
        <v>181604.03959462099</v>
      </c>
      <c r="F476">
        <f>TongassRAW!K77</f>
        <v>184531.94539102601</v>
      </c>
    </row>
    <row r="477" spans="1:6" x14ac:dyDescent="0.2">
      <c r="A477" t="s">
        <v>331</v>
      </c>
      <c r="B477">
        <f>TongassRAW!B78</f>
        <v>2017</v>
      </c>
      <c r="C477" t="str">
        <f>TongassRAW!C78</f>
        <v>Sport</v>
      </c>
      <c r="D477" t="str">
        <f>TongassRAW!D78</f>
        <v>Coho</v>
      </c>
      <c r="E477">
        <f>TongassRAW!J78</f>
        <v>283894.97076624102</v>
      </c>
      <c r="F477">
        <f>TongassRAW!K78</f>
        <v>286475.91750234598</v>
      </c>
    </row>
    <row r="478" spans="1:6" x14ac:dyDescent="0.2">
      <c r="A478" t="s">
        <v>331</v>
      </c>
      <c r="B478">
        <f>TongassRAW!B79</f>
        <v>2018</v>
      </c>
      <c r="C478" t="str">
        <f>TongassRAW!C79</f>
        <v>Sport</v>
      </c>
      <c r="D478" t="str">
        <f>TongassRAW!D79</f>
        <v>Coho</v>
      </c>
      <c r="E478">
        <f>TongassRAW!J79</f>
        <v>129533.51671587399</v>
      </c>
      <c r="F478">
        <f>TongassRAW!K79</f>
        <v>131869.627169299</v>
      </c>
    </row>
    <row r="479" spans="1:6" x14ac:dyDescent="0.2">
      <c r="A479" t="s">
        <v>331</v>
      </c>
      <c r="B479">
        <f>TongassRAW!B80</f>
        <v>2019</v>
      </c>
      <c r="C479" t="str">
        <f>TongassRAW!C80</f>
        <v>Sport</v>
      </c>
      <c r="D479" t="str">
        <f>TongassRAW!D80</f>
        <v>Coho</v>
      </c>
      <c r="E479">
        <f>TongassRAW!J80</f>
        <v>162723.64387412701</v>
      </c>
      <c r="F479">
        <f>TongassRAW!K80</f>
        <v>167385.53396199</v>
      </c>
    </row>
    <row r="480" spans="1:6" x14ac:dyDescent="0.2">
      <c r="A480" t="s">
        <v>331</v>
      </c>
      <c r="B480">
        <f>TongassRAW!B81</f>
        <v>2020</v>
      </c>
      <c r="C480" t="str">
        <f>TongassRAW!C81</f>
        <v>Sport</v>
      </c>
      <c r="D480" t="str">
        <f>TongassRAW!D81</f>
        <v>Coho</v>
      </c>
      <c r="E480">
        <f>TongassRAW!J81</f>
        <v>103242.67745323</v>
      </c>
      <c r="F480">
        <f>TongassRAW!K81</f>
        <v>106830.872155876</v>
      </c>
    </row>
    <row r="481" spans="1:6" x14ac:dyDescent="0.2">
      <c r="A481" t="s">
        <v>331</v>
      </c>
      <c r="B481">
        <f>TongassRAW!B82</f>
        <v>2011</v>
      </c>
      <c r="C481" t="str">
        <f>TongassRAW!C82</f>
        <v>Sport</v>
      </c>
      <c r="D481" t="str">
        <f>TongassRAW!D82</f>
        <v>Pink</v>
      </c>
      <c r="E481">
        <f>TongassRAW!J82</f>
        <v>52051.303741058699</v>
      </c>
      <c r="F481">
        <f>TongassRAW!K82</f>
        <v>53771.63</v>
      </c>
    </row>
    <row r="482" spans="1:6" x14ac:dyDescent="0.2">
      <c r="A482" t="s">
        <v>331</v>
      </c>
      <c r="B482">
        <f>TongassRAW!B83</f>
        <v>2012</v>
      </c>
      <c r="C482" t="str">
        <f>TongassRAW!C83</f>
        <v>Sport</v>
      </c>
      <c r="D482" t="str">
        <f>TongassRAW!D83</f>
        <v>Pink</v>
      </c>
      <c r="E482">
        <f>TongassRAW!J83</f>
        <v>50305.043447827898</v>
      </c>
      <c r="F482">
        <f>TongassRAW!K83</f>
        <v>51743.5146271747</v>
      </c>
    </row>
    <row r="483" spans="1:6" x14ac:dyDescent="0.2">
      <c r="A483" t="s">
        <v>331</v>
      </c>
      <c r="B483">
        <f>TongassRAW!B84</f>
        <v>2013</v>
      </c>
      <c r="C483" t="str">
        <f>TongassRAW!C84</f>
        <v>Sport</v>
      </c>
      <c r="D483" t="str">
        <f>TongassRAW!D84</f>
        <v>Pink</v>
      </c>
      <c r="E483">
        <f>TongassRAW!J84</f>
        <v>71477.023199187301</v>
      </c>
      <c r="F483">
        <f>TongassRAW!K84</f>
        <v>74115.245961356399</v>
      </c>
    </row>
    <row r="484" spans="1:6" x14ac:dyDescent="0.2">
      <c r="A484" t="s">
        <v>331</v>
      </c>
      <c r="B484">
        <f>TongassRAW!B85</f>
        <v>2014</v>
      </c>
      <c r="C484" t="str">
        <f>TongassRAW!C85</f>
        <v>Sport</v>
      </c>
      <c r="D484" t="str">
        <f>TongassRAW!D85</f>
        <v>Pink</v>
      </c>
      <c r="E484">
        <f>TongassRAW!J85</f>
        <v>61152.401405851102</v>
      </c>
      <c r="F484">
        <f>TongassRAW!K85</f>
        <v>62129.08</v>
      </c>
    </row>
    <row r="485" spans="1:6" x14ac:dyDescent="0.2">
      <c r="A485" t="s">
        <v>331</v>
      </c>
      <c r="B485">
        <f>TongassRAW!B86</f>
        <v>2015</v>
      </c>
      <c r="C485" t="str">
        <f>TongassRAW!C86</f>
        <v>Sport</v>
      </c>
      <c r="D485" t="str">
        <f>TongassRAW!D86</f>
        <v>Pink</v>
      </c>
      <c r="E485">
        <f>TongassRAW!J86</f>
        <v>73252.307639179606</v>
      </c>
      <c r="F485">
        <f>TongassRAW!K86</f>
        <v>74880.81</v>
      </c>
    </row>
    <row r="486" spans="1:6" x14ac:dyDescent="0.2">
      <c r="A486" t="s">
        <v>331</v>
      </c>
      <c r="B486">
        <f>TongassRAW!B87</f>
        <v>2016</v>
      </c>
      <c r="C486" t="str">
        <f>TongassRAW!C87</f>
        <v>Sport</v>
      </c>
      <c r="D486" t="str">
        <f>TongassRAW!D87</f>
        <v>Pink</v>
      </c>
      <c r="E486">
        <f>TongassRAW!J87</f>
        <v>78250.3546095575</v>
      </c>
      <c r="F486">
        <f>TongassRAW!K87</f>
        <v>79754.67</v>
      </c>
    </row>
    <row r="487" spans="1:6" x14ac:dyDescent="0.2">
      <c r="A487" t="s">
        <v>331</v>
      </c>
      <c r="B487">
        <f>TongassRAW!B88</f>
        <v>2017</v>
      </c>
      <c r="C487" t="str">
        <f>TongassRAW!C88</f>
        <v>Sport</v>
      </c>
      <c r="D487" t="str">
        <f>TongassRAW!D88</f>
        <v>Pink</v>
      </c>
      <c r="E487">
        <f>TongassRAW!J88</f>
        <v>73026.357198490499</v>
      </c>
      <c r="F487">
        <f>TongassRAW!K88</f>
        <v>75871.33</v>
      </c>
    </row>
    <row r="488" spans="1:6" x14ac:dyDescent="0.2">
      <c r="A488" t="s">
        <v>331</v>
      </c>
      <c r="B488">
        <f>TongassRAW!B89</f>
        <v>2018</v>
      </c>
      <c r="C488" t="str">
        <f>TongassRAW!C89</f>
        <v>Sport</v>
      </c>
      <c r="D488" t="str">
        <f>TongassRAW!D89</f>
        <v>Pink</v>
      </c>
      <c r="E488">
        <f>TongassRAW!J89</f>
        <v>47994.701975564298</v>
      </c>
      <c r="F488">
        <f>TongassRAW!K89</f>
        <v>49279.040000000001</v>
      </c>
    </row>
    <row r="489" spans="1:6" x14ac:dyDescent="0.2">
      <c r="A489" t="s">
        <v>331</v>
      </c>
      <c r="B489">
        <f>TongassRAW!B90</f>
        <v>2019</v>
      </c>
      <c r="C489" t="str">
        <f>TongassRAW!C90</f>
        <v>Sport</v>
      </c>
      <c r="D489" t="str">
        <f>TongassRAW!D90</f>
        <v>Pink</v>
      </c>
      <c r="E489">
        <f>TongassRAW!J90</f>
        <v>79204.336872482498</v>
      </c>
      <c r="F489">
        <f>TongassRAW!K90</f>
        <v>80244.439933613306</v>
      </c>
    </row>
    <row r="490" spans="1:6" x14ac:dyDescent="0.2">
      <c r="A490" t="s">
        <v>331</v>
      </c>
      <c r="B490">
        <f>TongassRAW!B91</f>
        <v>2020</v>
      </c>
      <c r="C490" t="str">
        <f>TongassRAW!C91</f>
        <v>Sport</v>
      </c>
      <c r="D490" t="str">
        <f>TongassRAW!D91</f>
        <v>Pink</v>
      </c>
      <c r="E490">
        <f>TongassRAW!J91</f>
        <v>48182.333331378803</v>
      </c>
      <c r="F490">
        <f>TongassRAW!K91</f>
        <v>49392.285939092202</v>
      </c>
    </row>
    <row r="491" spans="1:6" x14ac:dyDescent="0.2">
      <c r="A491" t="s">
        <v>331</v>
      </c>
      <c r="B491">
        <f>TongassRAW!B92</f>
        <v>2011</v>
      </c>
      <c r="C491" t="str">
        <f>TongassRAW!C92</f>
        <v>Sport</v>
      </c>
      <c r="D491" t="str">
        <f>TongassRAW!D92</f>
        <v>Sockeye</v>
      </c>
      <c r="E491">
        <f>TongassRAW!J92</f>
        <v>14099.724674597799</v>
      </c>
      <c r="F491">
        <f>TongassRAW!K92</f>
        <v>15005.05</v>
      </c>
    </row>
    <row r="492" spans="1:6" x14ac:dyDescent="0.2">
      <c r="A492" t="s">
        <v>331</v>
      </c>
      <c r="B492">
        <f>TongassRAW!B93</f>
        <v>2012</v>
      </c>
      <c r="C492" t="str">
        <f>TongassRAW!C93</f>
        <v>Sport</v>
      </c>
      <c r="D492" t="str">
        <f>TongassRAW!D93</f>
        <v>Sockeye</v>
      </c>
      <c r="E492">
        <f>TongassRAW!J93</f>
        <v>8905.1018516831009</v>
      </c>
      <c r="F492">
        <f>TongassRAW!K93</f>
        <v>9501</v>
      </c>
    </row>
    <row r="493" spans="1:6" x14ac:dyDescent="0.2">
      <c r="A493" t="s">
        <v>331</v>
      </c>
      <c r="B493">
        <f>TongassRAW!B94</f>
        <v>2013</v>
      </c>
      <c r="C493" t="str">
        <f>TongassRAW!C94</f>
        <v>Sport</v>
      </c>
      <c r="D493" t="str">
        <f>TongassRAW!D94</f>
        <v>Sockeye</v>
      </c>
      <c r="E493">
        <f>TongassRAW!J94</f>
        <v>13071.5004172557</v>
      </c>
      <c r="F493">
        <f>TongassRAW!K94</f>
        <v>13476.2</v>
      </c>
    </row>
    <row r="494" spans="1:6" x14ac:dyDescent="0.2">
      <c r="A494" t="s">
        <v>331</v>
      </c>
      <c r="B494">
        <f>TongassRAW!B95</f>
        <v>2014</v>
      </c>
      <c r="C494" t="str">
        <f>TongassRAW!C95</f>
        <v>Sport</v>
      </c>
      <c r="D494" t="str">
        <f>TongassRAW!D95</f>
        <v>Sockeye</v>
      </c>
      <c r="E494">
        <f>TongassRAW!J95</f>
        <v>15256.635504161201</v>
      </c>
      <c r="F494">
        <f>TongassRAW!K95</f>
        <v>16182.75</v>
      </c>
    </row>
    <row r="495" spans="1:6" x14ac:dyDescent="0.2">
      <c r="A495" t="s">
        <v>331</v>
      </c>
      <c r="B495">
        <f>TongassRAW!B96</f>
        <v>2015</v>
      </c>
      <c r="C495" t="str">
        <f>TongassRAW!C96</f>
        <v>Sport</v>
      </c>
      <c r="D495" t="str">
        <f>TongassRAW!D96</f>
        <v>Sockeye</v>
      </c>
      <c r="E495">
        <f>TongassRAW!J96</f>
        <v>13198.245569913001</v>
      </c>
      <c r="F495">
        <f>TongassRAW!K96</f>
        <v>14105.45</v>
      </c>
    </row>
    <row r="496" spans="1:6" x14ac:dyDescent="0.2">
      <c r="A496" t="s">
        <v>331</v>
      </c>
      <c r="B496">
        <f>TongassRAW!B97</f>
        <v>2016</v>
      </c>
      <c r="C496" t="str">
        <f>TongassRAW!C97</f>
        <v>Sport</v>
      </c>
      <c r="D496" t="str">
        <f>TongassRAW!D97</f>
        <v>Sockeye</v>
      </c>
      <c r="E496">
        <f>TongassRAW!J97</f>
        <v>10635.023603052399</v>
      </c>
      <c r="F496">
        <f>TongassRAW!K97</f>
        <v>11210.75</v>
      </c>
    </row>
    <row r="497" spans="1:6" x14ac:dyDescent="0.2">
      <c r="A497" t="s">
        <v>331</v>
      </c>
      <c r="B497">
        <f>TongassRAW!B98</f>
        <v>2017</v>
      </c>
      <c r="C497" t="str">
        <f>TongassRAW!C98</f>
        <v>Sport</v>
      </c>
      <c r="D497" t="str">
        <f>TongassRAW!D98</f>
        <v>Sockeye</v>
      </c>
      <c r="E497">
        <f>TongassRAW!J98</f>
        <v>10123.8880921257</v>
      </c>
      <c r="F497">
        <f>TongassRAW!K98</f>
        <v>10457.25</v>
      </c>
    </row>
    <row r="498" spans="1:6" x14ac:dyDescent="0.2">
      <c r="A498" t="s">
        <v>331</v>
      </c>
      <c r="B498">
        <f>TongassRAW!B99</f>
        <v>2018</v>
      </c>
      <c r="C498" t="str">
        <f>TongassRAW!C99</f>
        <v>Sport</v>
      </c>
      <c r="D498" t="str">
        <f>TongassRAW!D99</f>
        <v>Sockeye</v>
      </c>
      <c r="E498">
        <f>TongassRAW!J99</f>
        <v>7004.1102772313998</v>
      </c>
      <c r="F498">
        <f>TongassRAW!K99</f>
        <v>7145.35</v>
      </c>
    </row>
    <row r="499" spans="1:6" x14ac:dyDescent="0.2">
      <c r="A499" t="s">
        <v>331</v>
      </c>
      <c r="B499">
        <f>TongassRAW!B100</f>
        <v>2019</v>
      </c>
      <c r="C499" t="str">
        <f>TongassRAW!C100</f>
        <v>Sport</v>
      </c>
      <c r="D499" t="str">
        <f>TongassRAW!D100</f>
        <v>Sockeye</v>
      </c>
      <c r="E499">
        <f>TongassRAW!J100</f>
        <v>9173.5484033563007</v>
      </c>
      <c r="F499">
        <f>TongassRAW!K100</f>
        <v>9839</v>
      </c>
    </row>
    <row r="500" spans="1:6" x14ac:dyDescent="0.2">
      <c r="A500" t="s">
        <v>331</v>
      </c>
      <c r="B500">
        <f>TongassRAW!B101</f>
        <v>2020</v>
      </c>
      <c r="C500" t="str">
        <f>TongassRAW!C101</f>
        <v>Sport</v>
      </c>
      <c r="D500" t="str">
        <f>TongassRAW!D101</f>
        <v>Sockeye</v>
      </c>
      <c r="E500">
        <f>TongassRAW!J101</f>
        <v>6678.1240765762996</v>
      </c>
      <c r="F500">
        <f>TongassRAW!K101</f>
        <v>7141.6</v>
      </c>
    </row>
    <row r="501" spans="1:6" x14ac:dyDescent="0.2">
      <c r="A501" t="s">
        <v>331</v>
      </c>
      <c r="B501">
        <f>TongassRAW!B102</f>
        <v>2011</v>
      </c>
      <c r="C501" t="str">
        <f>TongassRAW!C102</f>
        <v>Subsistence</v>
      </c>
      <c r="D501" t="str">
        <f>TongassRAW!D102</f>
        <v>Chinook</v>
      </c>
      <c r="E501">
        <f>TongassRAW!J102</f>
        <v>243.55415409346199</v>
      </c>
      <c r="F501">
        <f>TongassRAW!K102</f>
        <v>330.67324218750002</v>
      </c>
    </row>
    <row r="502" spans="1:6" x14ac:dyDescent="0.2">
      <c r="A502" t="s">
        <v>331</v>
      </c>
      <c r="B502">
        <f>TongassRAW!B103</f>
        <v>2012</v>
      </c>
      <c r="C502" t="str">
        <f>TongassRAW!C103</f>
        <v>Subsistence</v>
      </c>
      <c r="D502" t="str">
        <f>TongassRAW!D103</f>
        <v>Chinook</v>
      </c>
      <c r="E502">
        <f>TongassRAW!J103</f>
        <v>187.96864389794001</v>
      </c>
      <c r="F502">
        <f>TongassRAW!K103</f>
        <v>259.49</v>
      </c>
    </row>
    <row r="503" spans="1:6" x14ac:dyDescent="0.2">
      <c r="A503" t="s">
        <v>331</v>
      </c>
      <c r="B503">
        <f>TongassRAW!B104</f>
        <v>2013</v>
      </c>
      <c r="C503" t="str">
        <f>TongassRAW!C104</f>
        <v>Subsistence</v>
      </c>
      <c r="D503" t="str">
        <f>TongassRAW!D104</f>
        <v>Chinook</v>
      </c>
      <c r="E503">
        <f>TongassRAW!J104</f>
        <v>342.88267484694001</v>
      </c>
      <c r="F503">
        <f>TongassRAW!K104</f>
        <v>441.65</v>
      </c>
    </row>
    <row r="504" spans="1:6" x14ac:dyDescent="0.2">
      <c r="A504" t="s">
        <v>331</v>
      </c>
      <c r="B504">
        <f>TongassRAW!B105</f>
        <v>2014</v>
      </c>
      <c r="C504" t="str">
        <f>TongassRAW!C105</f>
        <v>Subsistence</v>
      </c>
      <c r="D504" t="str">
        <f>TongassRAW!D105</f>
        <v>Chinook</v>
      </c>
      <c r="E504">
        <f>TongassRAW!J105</f>
        <v>281.82002222903998</v>
      </c>
      <c r="F504">
        <f>TongassRAW!K105</f>
        <v>399</v>
      </c>
    </row>
    <row r="505" spans="1:6" x14ac:dyDescent="0.2">
      <c r="A505" t="s">
        <v>331</v>
      </c>
      <c r="B505">
        <f>TongassRAW!B106</f>
        <v>2015</v>
      </c>
      <c r="C505" t="str">
        <f>TongassRAW!C106</f>
        <v>Subsistence</v>
      </c>
      <c r="D505" t="str">
        <f>TongassRAW!D106</f>
        <v>Chinook</v>
      </c>
      <c r="E505">
        <f>TongassRAW!J106</f>
        <v>109.908319058564</v>
      </c>
      <c r="F505">
        <f>TongassRAW!K106</f>
        <v>159.515037593985</v>
      </c>
    </row>
    <row r="506" spans="1:6" x14ac:dyDescent="0.2">
      <c r="A506" t="s">
        <v>331</v>
      </c>
      <c r="B506">
        <f>TongassRAW!B107</f>
        <v>2016</v>
      </c>
      <c r="C506" t="str">
        <f>TongassRAW!C107</f>
        <v>Subsistence</v>
      </c>
      <c r="D506" t="str">
        <f>TongassRAW!D107</f>
        <v>Chinook</v>
      </c>
      <c r="E506">
        <f>TongassRAW!J107</f>
        <v>177.80072088276</v>
      </c>
      <c r="F506">
        <f>TongassRAW!K107</f>
        <v>235.33</v>
      </c>
    </row>
    <row r="507" spans="1:6" x14ac:dyDescent="0.2">
      <c r="A507" t="s">
        <v>331</v>
      </c>
      <c r="B507">
        <f>TongassRAW!B108</f>
        <v>2017</v>
      </c>
      <c r="C507" t="str">
        <f>TongassRAW!C108</f>
        <v>Subsistence</v>
      </c>
      <c r="D507" t="str">
        <f>TongassRAW!D108</f>
        <v>Chinook</v>
      </c>
      <c r="E507">
        <f>TongassRAW!J108</f>
        <v>200.43835799510001</v>
      </c>
      <c r="F507">
        <f>TongassRAW!K108</f>
        <v>257.5</v>
      </c>
    </row>
    <row r="508" spans="1:6" x14ac:dyDescent="0.2">
      <c r="A508" t="s">
        <v>331</v>
      </c>
      <c r="B508">
        <f>TongassRAW!B109</f>
        <v>2018</v>
      </c>
      <c r="C508" t="str">
        <f>TongassRAW!C109</f>
        <v>Subsistence</v>
      </c>
      <c r="D508" t="str">
        <f>TongassRAW!D109</f>
        <v>Chinook</v>
      </c>
      <c r="E508">
        <f>TongassRAW!J109</f>
        <v>115.25290170469999</v>
      </c>
      <c r="F508">
        <f>TongassRAW!K109</f>
        <v>208.15</v>
      </c>
    </row>
    <row r="509" spans="1:6" x14ac:dyDescent="0.2">
      <c r="A509" t="s">
        <v>331</v>
      </c>
      <c r="B509">
        <f>TongassRAW!B110</f>
        <v>2019</v>
      </c>
      <c r="C509" t="str">
        <f>TongassRAW!C110</f>
        <v>Subsistence</v>
      </c>
      <c r="D509" t="str">
        <f>TongassRAW!D110</f>
        <v>Chinook</v>
      </c>
      <c r="E509">
        <f>TongassRAW!J110</f>
        <v>151.22588897067999</v>
      </c>
      <c r="F509">
        <f>TongassRAW!K110</f>
        <v>221.5</v>
      </c>
    </row>
    <row r="510" spans="1:6" x14ac:dyDescent="0.2">
      <c r="A510" t="s">
        <v>331</v>
      </c>
      <c r="B510">
        <f>TongassRAW!B111</f>
        <v>2020</v>
      </c>
      <c r="C510" t="str">
        <f>TongassRAW!C111</f>
        <v>Subsistence</v>
      </c>
      <c r="D510" t="str">
        <f>TongassRAW!D111</f>
        <v>Chinook</v>
      </c>
      <c r="E510">
        <f>TongassRAW!J111</f>
        <v>120.94699652742</v>
      </c>
      <c r="F510">
        <f>TongassRAW!K111</f>
        <v>243.12</v>
      </c>
    </row>
    <row r="511" spans="1:6" x14ac:dyDescent="0.2">
      <c r="A511" t="s">
        <v>331</v>
      </c>
      <c r="B511">
        <f>TongassRAW!B112</f>
        <v>2011</v>
      </c>
      <c r="C511" t="str">
        <f>TongassRAW!C112</f>
        <v>Subsistence</v>
      </c>
      <c r="D511" t="str">
        <f>TongassRAW!D112</f>
        <v>Chum</v>
      </c>
      <c r="E511">
        <f>TongassRAW!J112</f>
        <v>88.486956284986604</v>
      </c>
      <c r="F511">
        <f>TongassRAW!K112</f>
        <v>184.00478543563099</v>
      </c>
    </row>
    <row r="512" spans="1:6" x14ac:dyDescent="0.2">
      <c r="A512" t="s">
        <v>331</v>
      </c>
      <c r="B512">
        <f>TongassRAW!B113</f>
        <v>2012</v>
      </c>
      <c r="C512" t="str">
        <f>TongassRAW!C113</f>
        <v>Subsistence</v>
      </c>
      <c r="D512" t="str">
        <f>TongassRAW!D113</f>
        <v>Chum</v>
      </c>
      <c r="E512">
        <f>TongassRAW!J113</f>
        <v>32.970392313961497</v>
      </c>
      <c r="F512">
        <f>TongassRAW!K113</f>
        <v>57.615199409158002</v>
      </c>
    </row>
    <row r="513" spans="1:6" x14ac:dyDescent="0.2">
      <c r="A513" t="s">
        <v>331</v>
      </c>
      <c r="B513">
        <f>TongassRAW!B114</f>
        <v>2013</v>
      </c>
      <c r="C513" t="str">
        <f>TongassRAW!C114</f>
        <v>Subsistence</v>
      </c>
      <c r="D513" t="str">
        <f>TongassRAW!D114</f>
        <v>Chum</v>
      </c>
      <c r="E513">
        <f>TongassRAW!J114</f>
        <v>4.8980266634190004</v>
      </c>
      <c r="F513">
        <f>TongassRAW!K114</f>
        <v>9.9655000000000094</v>
      </c>
    </row>
    <row r="514" spans="1:6" x14ac:dyDescent="0.2">
      <c r="A514" t="s">
        <v>331</v>
      </c>
      <c r="B514">
        <f>TongassRAW!B115</f>
        <v>2014</v>
      </c>
      <c r="C514" t="str">
        <f>TongassRAW!C115</f>
        <v>Subsistence</v>
      </c>
      <c r="D514" t="str">
        <f>TongassRAW!D115</f>
        <v>Chum</v>
      </c>
      <c r="E514">
        <f>TongassRAW!J115</f>
        <v>212.57722723449999</v>
      </c>
      <c r="F514">
        <f>TongassRAW!K115</f>
        <v>303</v>
      </c>
    </row>
    <row r="515" spans="1:6" x14ac:dyDescent="0.2">
      <c r="A515" t="s">
        <v>331</v>
      </c>
      <c r="B515">
        <f>TongassRAW!B116</f>
        <v>2015</v>
      </c>
      <c r="C515" t="str">
        <f>TongassRAW!C116</f>
        <v>Subsistence</v>
      </c>
      <c r="D515" t="str">
        <f>TongassRAW!D116</f>
        <v>Chum</v>
      </c>
      <c r="E515">
        <f>TongassRAW!J116</f>
        <v>84.892803952549997</v>
      </c>
      <c r="F515">
        <f>TongassRAW!K116</f>
        <v>192.5</v>
      </c>
    </row>
    <row r="516" spans="1:6" x14ac:dyDescent="0.2">
      <c r="A516" t="s">
        <v>331</v>
      </c>
      <c r="B516">
        <f>TongassRAW!B117</f>
        <v>2016</v>
      </c>
      <c r="C516" t="str">
        <f>TongassRAW!C117</f>
        <v>Subsistence</v>
      </c>
      <c r="D516" t="str">
        <f>TongassRAW!D117</f>
        <v>Chum</v>
      </c>
      <c r="E516">
        <f>TongassRAW!J117</f>
        <v>173.85845094786001</v>
      </c>
      <c r="F516">
        <f>TongassRAW!K117</f>
        <v>269.98</v>
      </c>
    </row>
    <row r="517" spans="1:6" x14ac:dyDescent="0.2">
      <c r="A517" t="s">
        <v>331</v>
      </c>
      <c r="B517">
        <f>TongassRAW!B118</f>
        <v>2017</v>
      </c>
      <c r="C517" t="str">
        <f>TongassRAW!C118</f>
        <v>Subsistence</v>
      </c>
      <c r="D517" t="str">
        <f>TongassRAW!D118</f>
        <v>Chum</v>
      </c>
      <c r="E517">
        <f>TongassRAW!J118</f>
        <v>80.968760175900002</v>
      </c>
      <c r="F517">
        <f>TongassRAW!K118</f>
        <v>252.49</v>
      </c>
    </row>
    <row r="518" spans="1:6" x14ac:dyDescent="0.2">
      <c r="A518" t="s">
        <v>331</v>
      </c>
      <c r="B518">
        <f>TongassRAW!B119</f>
        <v>2018</v>
      </c>
      <c r="C518" t="str">
        <f>TongassRAW!C119</f>
        <v>Subsistence</v>
      </c>
      <c r="D518" t="str">
        <f>TongassRAW!D119</f>
        <v>Chum</v>
      </c>
      <c r="E518">
        <f>TongassRAW!J119</f>
        <v>140.0255991825</v>
      </c>
      <c r="F518">
        <f>TongassRAW!K119</f>
        <v>237.14</v>
      </c>
    </row>
    <row r="519" spans="1:6" x14ac:dyDescent="0.2">
      <c r="A519" t="s">
        <v>331</v>
      </c>
      <c r="B519">
        <f>TongassRAW!B120</f>
        <v>2019</v>
      </c>
      <c r="C519" t="str">
        <f>TongassRAW!C120</f>
        <v>Subsistence</v>
      </c>
      <c r="D519" t="str">
        <f>TongassRAW!D120</f>
        <v>Chum</v>
      </c>
      <c r="E519">
        <f>TongassRAW!J120</f>
        <v>179.99527551828001</v>
      </c>
      <c r="F519">
        <f>TongassRAW!K120</f>
        <v>220.98</v>
      </c>
    </row>
    <row r="520" spans="1:6" x14ac:dyDescent="0.2">
      <c r="A520" t="s">
        <v>331</v>
      </c>
      <c r="B520">
        <f>TongassRAW!B121</f>
        <v>2020</v>
      </c>
      <c r="C520" t="str">
        <f>TongassRAW!C121</f>
        <v>Subsistence</v>
      </c>
      <c r="D520" t="str">
        <f>TongassRAW!D121</f>
        <v>Chum</v>
      </c>
      <c r="E520">
        <f>TongassRAW!J121</f>
        <v>72.999564284499996</v>
      </c>
      <c r="F520">
        <f>TongassRAW!K121</f>
        <v>158.81</v>
      </c>
    </row>
    <row r="521" spans="1:6" x14ac:dyDescent="0.2">
      <c r="A521" t="s">
        <v>331</v>
      </c>
      <c r="B521">
        <f>TongassRAW!B122</f>
        <v>2011</v>
      </c>
      <c r="C521" t="str">
        <f>TongassRAW!C122</f>
        <v>Subsistence</v>
      </c>
      <c r="D521" t="str">
        <f>TongassRAW!D122</f>
        <v>Coho</v>
      </c>
      <c r="E521">
        <f>TongassRAW!J122</f>
        <v>950.53469526669403</v>
      </c>
      <c r="F521">
        <f>TongassRAW!K122</f>
        <v>1129.4900456621001</v>
      </c>
    </row>
    <row r="522" spans="1:6" x14ac:dyDescent="0.2">
      <c r="A522" t="s">
        <v>331</v>
      </c>
      <c r="B522">
        <f>TongassRAW!B123</f>
        <v>2012</v>
      </c>
      <c r="C522" t="str">
        <f>TongassRAW!C123</f>
        <v>Subsistence</v>
      </c>
      <c r="D522" t="str">
        <f>TongassRAW!D123</f>
        <v>Coho</v>
      </c>
      <c r="E522">
        <f>TongassRAW!J123</f>
        <v>1101.23121119539</v>
      </c>
      <c r="F522">
        <f>TongassRAW!K123</f>
        <v>1329.6334245917401</v>
      </c>
    </row>
    <row r="523" spans="1:6" x14ac:dyDescent="0.2">
      <c r="A523" t="s">
        <v>331</v>
      </c>
      <c r="B523">
        <f>TongassRAW!B124</f>
        <v>2013</v>
      </c>
      <c r="C523" t="str">
        <f>TongassRAW!C124</f>
        <v>Subsistence</v>
      </c>
      <c r="D523" t="str">
        <f>TongassRAW!D124</f>
        <v>Coho</v>
      </c>
      <c r="E523">
        <f>TongassRAW!J124</f>
        <v>191.76192106308</v>
      </c>
      <c r="F523">
        <f>TongassRAW!K124</f>
        <v>380.71819038642798</v>
      </c>
    </row>
    <row r="524" spans="1:6" x14ac:dyDescent="0.2">
      <c r="A524" t="s">
        <v>331</v>
      </c>
      <c r="B524">
        <f>TongassRAW!B125</f>
        <v>2014</v>
      </c>
      <c r="C524" t="str">
        <f>TongassRAW!C125</f>
        <v>Subsistence</v>
      </c>
      <c r="D524" t="str">
        <f>TongassRAW!D125</f>
        <v>Coho</v>
      </c>
      <c r="E524">
        <f>TongassRAW!J125</f>
        <v>322.29805954097998</v>
      </c>
      <c r="F524">
        <f>TongassRAW!K125</f>
        <v>565.42999999999995</v>
      </c>
    </row>
    <row r="525" spans="1:6" x14ac:dyDescent="0.2">
      <c r="A525" t="s">
        <v>331</v>
      </c>
      <c r="B525">
        <f>TongassRAW!B126</f>
        <v>2015</v>
      </c>
      <c r="C525" t="str">
        <f>TongassRAW!C126</f>
        <v>Subsistence</v>
      </c>
      <c r="D525" t="str">
        <f>TongassRAW!D126</f>
        <v>Coho</v>
      </c>
      <c r="E525">
        <f>TongassRAW!J126</f>
        <v>887.33835956038001</v>
      </c>
      <c r="F525">
        <f>TongassRAW!K126</f>
        <v>1156.18</v>
      </c>
    </row>
    <row r="526" spans="1:6" x14ac:dyDescent="0.2">
      <c r="A526" t="s">
        <v>331</v>
      </c>
      <c r="B526">
        <f>TongassRAW!B127</f>
        <v>2016</v>
      </c>
      <c r="C526" t="str">
        <f>TongassRAW!C127</f>
        <v>Subsistence</v>
      </c>
      <c r="D526" t="str">
        <f>TongassRAW!D127</f>
        <v>Coho</v>
      </c>
      <c r="E526">
        <f>TongassRAW!J127</f>
        <v>1029.12878833272</v>
      </c>
      <c r="F526">
        <f>TongassRAW!K127</f>
        <v>1227.73</v>
      </c>
    </row>
    <row r="527" spans="1:6" x14ac:dyDescent="0.2">
      <c r="A527" t="s">
        <v>331</v>
      </c>
      <c r="B527">
        <f>TongassRAW!B128</f>
        <v>2017</v>
      </c>
      <c r="C527" t="str">
        <f>TongassRAW!C128</f>
        <v>Subsistence</v>
      </c>
      <c r="D527" t="str">
        <f>TongassRAW!D128</f>
        <v>Coho</v>
      </c>
      <c r="E527">
        <f>TongassRAW!J128</f>
        <v>579.61690744528005</v>
      </c>
      <c r="F527">
        <f>TongassRAW!K128</f>
        <v>778.82</v>
      </c>
    </row>
    <row r="528" spans="1:6" x14ac:dyDescent="0.2">
      <c r="A528" t="s">
        <v>331</v>
      </c>
      <c r="B528">
        <f>TongassRAW!B129</f>
        <v>2018</v>
      </c>
      <c r="C528" t="str">
        <f>TongassRAW!C129</f>
        <v>Subsistence</v>
      </c>
      <c r="D528" t="str">
        <f>TongassRAW!D129</f>
        <v>Coho</v>
      </c>
      <c r="E528">
        <f>TongassRAW!J129</f>
        <v>1183.50605700491</v>
      </c>
      <c r="F528">
        <f>TongassRAW!K129</f>
        <v>1383.35</v>
      </c>
    </row>
    <row r="529" spans="1:6" x14ac:dyDescent="0.2">
      <c r="A529" t="s">
        <v>331</v>
      </c>
      <c r="B529">
        <f>TongassRAW!B130</f>
        <v>2019</v>
      </c>
      <c r="C529" t="str">
        <f>TongassRAW!C130</f>
        <v>Subsistence</v>
      </c>
      <c r="D529" t="str">
        <f>TongassRAW!D130</f>
        <v>Coho</v>
      </c>
      <c r="E529">
        <f>TongassRAW!J130</f>
        <v>830.83692132114004</v>
      </c>
      <c r="F529">
        <f>TongassRAW!K130</f>
        <v>988.76</v>
      </c>
    </row>
    <row r="530" spans="1:6" x14ac:dyDescent="0.2">
      <c r="A530" t="s">
        <v>331</v>
      </c>
      <c r="B530">
        <f>TongassRAW!B131</f>
        <v>2020</v>
      </c>
      <c r="C530" t="str">
        <f>TongassRAW!C131</f>
        <v>Subsistence</v>
      </c>
      <c r="D530" t="str">
        <f>TongassRAW!D131</f>
        <v>Coho</v>
      </c>
      <c r="E530">
        <f>TongassRAW!J131</f>
        <v>817.18219535870003</v>
      </c>
      <c r="F530">
        <f>TongassRAW!K131</f>
        <v>908.15</v>
      </c>
    </row>
    <row r="531" spans="1:6" x14ac:dyDescent="0.2">
      <c r="A531" t="s">
        <v>331</v>
      </c>
      <c r="B531">
        <f>TongassRAW!B132</f>
        <v>2011</v>
      </c>
      <c r="C531" t="str">
        <f>TongassRAW!C132</f>
        <v>Subsistence</v>
      </c>
      <c r="D531" t="str">
        <f>TongassRAW!D132</f>
        <v>Pink</v>
      </c>
      <c r="E531">
        <f>TongassRAW!J132</f>
        <v>424.33096980035998</v>
      </c>
      <c r="F531">
        <f>TongassRAW!K132</f>
        <v>780.54</v>
      </c>
    </row>
    <row r="532" spans="1:6" x14ac:dyDescent="0.2">
      <c r="A532" t="s">
        <v>331</v>
      </c>
      <c r="B532">
        <f>TongassRAW!B133</f>
        <v>2012</v>
      </c>
      <c r="C532" t="str">
        <f>TongassRAW!C133</f>
        <v>Subsistence</v>
      </c>
      <c r="D532" t="str">
        <f>TongassRAW!D133</f>
        <v>Pink</v>
      </c>
      <c r="E532">
        <f>TongassRAW!J133</f>
        <v>595.13538798523803</v>
      </c>
      <c r="F532">
        <f>TongassRAW!K133</f>
        <v>827.81832376578598</v>
      </c>
    </row>
    <row r="533" spans="1:6" x14ac:dyDescent="0.2">
      <c r="A533" t="s">
        <v>331</v>
      </c>
      <c r="B533">
        <f>TongassRAW!B134</f>
        <v>2013</v>
      </c>
      <c r="C533" t="str">
        <f>TongassRAW!C134</f>
        <v>Subsistence</v>
      </c>
      <c r="D533" t="str">
        <f>TongassRAW!D134</f>
        <v>Pink</v>
      </c>
      <c r="E533">
        <f>TongassRAW!J134</f>
        <v>70.164375239969999</v>
      </c>
      <c r="F533">
        <f>TongassRAW!K134</f>
        <v>605.37</v>
      </c>
    </row>
    <row r="534" spans="1:6" x14ac:dyDescent="0.2">
      <c r="A534" t="s">
        <v>331</v>
      </c>
      <c r="B534">
        <f>TongassRAW!B135</f>
        <v>2014</v>
      </c>
      <c r="C534" t="str">
        <f>TongassRAW!C135</f>
        <v>Subsistence</v>
      </c>
      <c r="D534" t="str">
        <f>TongassRAW!D135</f>
        <v>Pink</v>
      </c>
      <c r="E534">
        <f>TongassRAW!J135</f>
        <v>606.33078792499998</v>
      </c>
      <c r="F534">
        <f>TongassRAW!K135</f>
        <v>786.5</v>
      </c>
    </row>
    <row r="535" spans="1:6" x14ac:dyDescent="0.2">
      <c r="A535" t="s">
        <v>331</v>
      </c>
      <c r="B535">
        <f>TongassRAW!B136</f>
        <v>2015</v>
      </c>
      <c r="C535" t="str">
        <f>TongassRAW!C136</f>
        <v>Subsistence</v>
      </c>
      <c r="D535" t="str">
        <f>TongassRAW!D136</f>
        <v>Pink</v>
      </c>
      <c r="E535">
        <f>TongassRAW!J136</f>
        <v>448.97359253929</v>
      </c>
      <c r="F535">
        <f>TongassRAW!K136</f>
        <v>735.85</v>
      </c>
    </row>
    <row r="536" spans="1:6" x14ac:dyDescent="0.2">
      <c r="A536" t="s">
        <v>331</v>
      </c>
      <c r="B536">
        <f>TongassRAW!B137</f>
        <v>2016</v>
      </c>
      <c r="C536" t="str">
        <f>TongassRAW!C137</f>
        <v>Subsistence</v>
      </c>
      <c r="D536" t="str">
        <f>TongassRAW!D137</f>
        <v>Pink</v>
      </c>
      <c r="E536">
        <f>TongassRAW!J137</f>
        <v>768.24953565021997</v>
      </c>
      <c r="F536">
        <f>TongassRAW!K137</f>
        <v>967.41</v>
      </c>
    </row>
    <row r="537" spans="1:6" x14ac:dyDescent="0.2">
      <c r="A537" t="s">
        <v>331</v>
      </c>
      <c r="B537">
        <f>TongassRAW!B138</f>
        <v>2017</v>
      </c>
      <c r="C537" t="str">
        <f>TongassRAW!C138</f>
        <v>Subsistence</v>
      </c>
      <c r="D537" t="str">
        <f>TongassRAW!D138</f>
        <v>Pink</v>
      </c>
      <c r="E537">
        <f>TongassRAW!J138</f>
        <v>257.34645486907999</v>
      </c>
      <c r="F537">
        <f>TongassRAW!K138</f>
        <v>577.65</v>
      </c>
    </row>
    <row r="538" spans="1:6" x14ac:dyDescent="0.2">
      <c r="A538" t="s">
        <v>331</v>
      </c>
      <c r="B538">
        <f>TongassRAW!B139</f>
        <v>2018</v>
      </c>
      <c r="C538" t="str">
        <f>TongassRAW!C139</f>
        <v>Subsistence</v>
      </c>
      <c r="D538" t="str">
        <f>TongassRAW!D139</f>
        <v>Pink</v>
      </c>
      <c r="E538">
        <f>TongassRAW!J139</f>
        <v>307.22266613682001</v>
      </c>
      <c r="F538">
        <f>TongassRAW!K139</f>
        <v>504.49</v>
      </c>
    </row>
    <row r="539" spans="1:6" x14ac:dyDescent="0.2">
      <c r="A539" t="s">
        <v>331</v>
      </c>
      <c r="B539">
        <f>TongassRAW!B140</f>
        <v>2019</v>
      </c>
      <c r="C539" t="str">
        <f>TongassRAW!C140</f>
        <v>Subsistence</v>
      </c>
      <c r="D539" t="str">
        <f>TongassRAW!D140</f>
        <v>Pink</v>
      </c>
      <c r="E539">
        <f>TongassRAW!J140</f>
        <v>438.51596362946299</v>
      </c>
      <c r="F539">
        <f>TongassRAW!K140</f>
        <v>769.171279212792</v>
      </c>
    </row>
    <row r="540" spans="1:6" x14ac:dyDescent="0.2">
      <c r="A540" t="s">
        <v>331</v>
      </c>
      <c r="B540">
        <f>TongassRAW!B141</f>
        <v>2020</v>
      </c>
      <c r="C540" t="str">
        <f>TongassRAW!C141</f>
        <v>Subsistence</v>
      </c>
      <c r="D540" t="str">
        <f>TongassRAW!D141</f>
        <v>Pink</v>
      </c>
      <c r="E540">
        <f>TongassRAW!J141</f>
        <v>-13.8247489463712</v>
      </c>
      <c r="F540">
        <f>TongassRAW!K141</f>
        <v>476.26849707912902</v>
      </c>
    </row>
    <row r="541" spans="1:6" x14ac:dyDescent="0.2">
      <c r="A541" t="s">
        <v>331</v>
      </c>
      <c r="B541">
        <f>TongassRAW!B142</f>
        <v>2011</v>
      </c>
      <c r="C541" t="str">
        <f>TongassRAW!C142</f>
        <v>Subsistence</v>
      </c>
      <c r="D541" t="str">
        <f>TongassRAW!D142</f>
        <v>Sockeye</v>
      </c>
      <c r="E541">
        <f>TongassRAW!J142</f>
        <v>15946.7688657708</v>
      </c>
      <c r="F541">
        <f>TongassRAW!K142</f>
        <v>22467.5</v>
      </c>
    </row>
    <row r="542" spans="1:6" x14ac:dyDescent="0.2">
      <c r="A542" t="s">
        <v>331</v>
      </c>
      <c r="B542">
        <f>TongassRAW!B143</f>
        <v>2012</v>
      </c>
      <c r="C542" t="str">
        <f>TongassRAW!C143</f>
        <v>Subsistence</v>
      </c>
      <c r="D542" t="str">
        <f>TongassRAW!D143</f>
        <v>Sockeye</v>
      </c>
      <c r="E542">
        <f>TongassRAW!J143</f>
        <v>17116.161833585102</v>
      </c>
      <c r="F542">
        <f>TongassRAW!K143</f>
        <v>25180.1</v>
      </c>
    </row>
    <row r="543" spans="1:6" x14ac:dyDescent="0.2">
      <c r="A543" t="s">
        <v>331</v>
      </c>
      <c r="B543">
        <f>TongassRAW!B144</f>
        <v>2013</v>
      </c>
      <c r="C543" t="str">
        <f>TongassRAW!C144</f>
        <v>Subsistence</v>
      </c>
      <c r="D543" t="str">
        <f>TongassRAW!D144</f>
        <v>Sockeye</v>
      </c>
      <c r="E543">
        <f>TongassRAW!J144</f>
        <v>16364.4011313395</v>
      </c>
      <c r="F543">
        <f>TongassRAW!K144</f>
        <v>22911.200000000001</v>
      </c>
    </row>
    <row r="544" spans="1:6" x14ac:dyDescent="0.2">
      <c r="A544" t="s">
        <v>331</v>
      </c>
      <c r="B544">
        <f>TongassRAW!B145</f>
        <v>2014</v>
      </c>
      <c r="C544" t="str">
        <f>TongassRAW!C145</f>
        <v>Subsistence</v>
      </c>
      <c r="D544" t="str">
        <f>TongassRAW!D145</f>
        <v>Sockeye</v>
      </c>
      <c r="E544">
        <f>TongassRAW!J145</f>
        <v>15315.4645290013</v>
      </c>
      <c r="F544">
        <f>TongassRAW!K145</f>
        <v>20240.900000000001</v>
      </c>
    </row>
    <row r="545" spans="1:6" x14ac:dyDescent="0.2">
      <c r="A545" t="s">
        <v>331</v>
      </c>
      <c r="B545">
        <f>TongassRAW!B146</f>
        <v>2015</v>
      </c>
      <c r="C545" t="str">
        <f>TongassRAW!C146</f>
        <v>Subsistence</v>
      </c>
      <c r="D545" t="str">
        <f>TongassRAW!D146</f>
        <v>Sockeye</v>
      </c>
      <c r="E545">
        <f>TongassRAW!J146</f>
        <v>13492.5027503905</v>
      </c>
      <c r="F545">
        <f>TongassRAW!K146</f>
        <v>17177.996431449301</v>
      </c>
    </row>
    <row r="546" spans="1:6" x14ac:dyDescent="0.2">
      <c r="A546" t="s">
        <v>331</v>
      </c>
      <c r="B546">
        <f>TongassRAW!B147</f>
        <v>2016</v>
      </c>
      <c r="C546" t="str">
        <f>TongassRAW!C147</f>
        <v>Subsistence</v>
      </c>
      <c r="D546" t="str">
        <f>TongassRAW!D147</f>
        <v>Sockeye</v>
      </c>
      <c r="E546">
        <f>TongassRAW!J147</f>
        <v>13898.0784366675</v>
      </c>
      <c r="F546">
        <f>TongassRAW!K147</f>
        <v>19572.7</v>
      </c>
    </row>
    <row r="547" spans="1:6" x14ac:dyDescent="0.2">
      <c r="A547" t="s">
        <v>331</v>
      </c>
      <c r="B547">
        <f>TongassRAW!B148</f>
        <v>2017</v>
      </c>
      <c r="C547" t="str">
        <f>TongassRAW!C148</f>
        <v>Subsistence</v>
      </c>
      <c r="D547" t="str">
        <f>TongassRAW!D148</f>
        <v>Sockeye</v>
      </c>
      <c r="E547">
        <f>TongassRAW!J148</f>
        <v>12012.4116031305</v>
      </c>
      <c r="F547">
        <f>TongassRAW!K148</f>
        <v>17135.099999999999</v>
      </c>
    </row>
    <row r="548" spans="1:6" x14ac:dyDescent="0.2">
      <c r="A548" t="s">
        <v>331</v>
      </c>
      <c r="B548">
        <f>TongassRAW!B149</f>
        <v>2018</v>
      </c>
      <c r="C548" t="str">
        <f>TongassRAW!C149</f>
        <v>Subsistence</v>
      </c>
      <c r="D548" t="str">
        <f>TongassRAW!D149</f>
        <v>Sockeye</v>
      </c>
      <c r="E548">
        <f>TongassRAW!J149</f>
        <v>12374.831761465201</v>
      </c>
      <c r="F548">
        <f>TongassRAW!K149</f>
        <v>22250.1</v>
      </c>
    </row>
    <row r="549" spans="1:6" x14ac:dyDescent="0.2">
      <c r="A549" t="s">
        <v>331</v>
      </c>
      <c r="B549">
        <f>TongassRAW!B150</f>
        <v>2019</v>
      </c>
      <c r="C549" t="str">
        <f>TongassRAW!C150</f>
        <v>Subsistence</v>
      </c>
      <c r="D549" t="str">
        <f>TongassRAW!D150</f>
        <v>Sockeye</v>
      </c>
      <c r="E549">
        <f>TongassRAW!J150</f>
        <v>13257.054412563901</v>
      </c>
      <c r="F549">
        <f>TongassRAW!K150</f>
        <v>22970.725222197801</v>
      </c>
    </row>
    <row r="550" spans="1:6" x14ac:dyDescent="0.2">
      <c r="A550" t="s">
        <v>331</v>
      </c>
      <c r="B550">
        <f>TongassRAW!B151</f>
        <v>2020</v>
      </c>
      <c r="C550" t="str">
        <f>TongassRAW!C151</f>
        <v>Subsistence</v>
      </c>
      <c r="D550" t="str">
        <f>TongassRAW!D151</f>
        <v>Sockeye</v>
      </c>
      <c r="E550">
        <f>TongassRAW!J151</f>
        <v>7041.8241283323796</v>
      </c>
      <c r="F550">
        <f>TongassRAW!K151</f>
        <v>12222.871347734101</v>
      </c>
    </row>
    <row r="551" spans="1:6" x14ac:dyDescent="0.2">
      <c r="A551" t="s">
        <v>331</v>
      </c>
      <c r="B551">
        <f>TongassRAW!B152</f>
        <v>0</v>
      </c>
      <c r="C551">
        <f>TongassRAW!C152</f>
        <v>0</v>
      </c>
      <c r="D551">
        <f>TongassRAW!D152</f>
        <v>0</v>
      </c>
      <c r="E551">
        <f>TongassRAW!J152</f>
        <v>0</v>
      </c>
      <c r="F551">
        <f>TongassRAW!K152</f>
        <v>0</v>
      </c>
    </row>
    <row r="552" spans="1:6" x14ac:dyDescent="0.2">
      <c r="A552" t="s">
        <v>331</v>
      </c>
      <c r="B552">
        <f>TongassRAW!B153</f>
        <v>0</v>
      </c>
      <c r="C552">
        <f>TongassRAW!C153</f>
        <v>0</v>
      </c>
      <c r="D552">
        <f>TongassRAW!D153</f>
        <v>0</v>
      </c>
      <c r="E552">
        <f>TongassRAW!J153</f>
        <v>0</v>
      </c>
      <c r="F552">
        <f>TongassRAW!K153</f>
        <v>0</v>
      </c>
    </row>
    <row r="553" spans="1:6" x14ac:dyDescent="0.2">
      <c r="A553" t="s">
        <v>331</v>
      </c>
      <c r="B553">
        <f>TongassRAW!B154</f>
        <v>0</v>
      </c>
      <c r="C553">
        <f>TongassRAW!C154</f>
        <v>0</v>
      </c>
      <c r="D553">
        <f>TongassRAW!D154</f>
        <v>0</v>
      </c>
      <c r="E553">
        <f>TongassRAW!J154</f>
        <v>0</v>
      </c>
      <c r="F553">
        <f>TongassRAW!K154</f>
        <v>0</v>
      </c>
    </row>
    <row r="554" spans="1:6" x14ac:dyDescent="0.2">
      <c r="A554" t="s">
        <v>331</v>
      </c>
      <c r="B554">
        <f>TongassRAW!B155</f>
        <v>0</v>
      </c>
      <c r="C554">
        <f>TongassRAW!C155</f>
        <v>0</v>
      </c>
      <c r="D554">
        <f>TongassRAW!D155</f>
        <v>0</v>
      </c>
      <c r="E554">
        <f>TongassRAW!J155</f>
        <v>0</v>
      </c>
      <c r="F554">
        <f>TongassRAW!K155</f>
        <v>0</v>
      </c>
    </row>
    <row r="555" spans="1:6" x14ac:dyDescent="0.2">
      <c r="A555" t="s">
        <v>331</v>
      </c>
      <c r="B555">
        <f>TongassRAW!B156</f>
        <v>0</v>
      </c>
      <c r="C555">
        <f>TongassRAW!C156</f>
        <v>0</v>
      </c>
      <c r="D555">
        <f>TongassRAW!D156</f>
        <v>0</v>
      </c>
      <c r="E555">
        <f>TongassRAW!J156</f>
        <v>0</v>
      </c>
      <c r="F555">
        <f>TongassRAW!K156</f>
        <v>0</v>
      </c>
    </row>
    <row r="556" spans="1:6" x14ac:dyDescent="0.2">
      <c r="A556" t="s">
        <v>331</v>
      </c>
      <c r="B556">
        <f>TongassRAW!B157</f>
        <v>0</v>
      </c>
      <c r="C556">
        <f>TongassRAW!C157</f>
        <v>0</v>
      </c>
      <c r="D556">
        <f>TongassRAW!D157</f>
        <v>0</v>
      </c>
      <c r="E556">
        <f>TongassRAW!J157</f>
        <v>0</v>
      </c>
      <c r="F556">
        <f>TongassRAW!K157</f>
        <v>0</v>
      </c>
    </row>
    <row r="557" spans="1:6" x14ac:dyDescent="0.2">
      <c r="A557" t="s">
        <v>331</v>
      </c>
      <c r="B557">
        <f>TongassRAW!B158</f>
        <v>0</v>
      </c>
      <c r="C557">
        <f>TongassRAW!C158</f>
        <v>0</v>
      </c>
      <c r="D557">
        <f>TongassRAW!D158</f>
        <v>0</v>
      </c>
      <c r="E557">
        <f>TongassRAW!J158</f>
        <v>0</v>
      </c>
      <c r="F557">
        <f>TongassRAW!K158</f>
        <v>0</v>
      </c>
    </row>
    <row r="558" spans="1:6" x14ac:dyDescent="0.2">
      <c r="A558" t="s">
        <v>331</v>
      </c>
      <c r="B558">
        <f>TongassRAW!B159</f>
        <v>0</v>
      </c>
      <c r="C558">
        <f>TongassRAW!C159</f>
        <v>0</v>
      </c>
      <c r="D558">
        <f>TongassRAW!D159</f>
        <v>0</v>
      </c>
      <c r="E558">
        <f>TongassRAW!J159</f>
        <v>0</v>
      </c>
      <c r="F558">
        <f>TongassRAW!K159</f>
        <v>0</v>
      </c>
    </row>
    <row r="559" spans="1:6" x14ac:dyDescent="0.2">
      <c r="A559" t="s">
        <v>331</v>
      </c>
      <c r="B559">
        <f>TongassRAW!B160</f>
        <v>0</v>
      </c>
      <c r="C559">
        <f>TongassRAW!C160</f>
        <v>0</v>
      </c>
      <c r="D559">
        <f>TongassRAW!D160</f>
        <v>0</v>
      </c>
      <c r="E559">
        <f>TongassRAW!J160</f>
        <v>0</v>
      </c>
      <c r="F559">
        <f>TongassRAW!K160</f>
        <v>0</v>
      </c>
    </row>
    <row r="560" spans="1:6" x14ac:dyDescent="0.2">
      <c r="A560" t="s">
        <v>331</v>
      </c>
      <c r="B560">
        <f>TongassRAW!B161</f>
        <v>0</v>
      </c>
      <c r="C560">
        <f>TongassRAW!C161</f>
        <v>0</v>
      </c>
      <c r="D560">
        <f>TongassRAW!D161</f>
        <v>0</v>
      </c>
      <c r="E560">
        <f>TongassRAW!J161</f>
        <v>0</v>
      </c>
      <c r="F560">
        <f>TongassRAW!K161</f>
        <v>0</v>
      </c>
    </row>
    <row r="561" spans="1:6" x14ac:dyDescent="0.2">
      <c r="A561" t="s">
        <v>331</v>
      </c>
      <c r="B561">
        <f>TongassRAW!B162</f>
        <v>0</v>
      </c>
      <c r="C561">
        <f>TongassRAW!C162</f>
        <v>0</v>
      </c>
      <c r="D561">
        <f>TongassRAW!D162</f>
        <v>0</v>
      </c>
      <c r="E561">
        <f>TongassRAW!J162</f>
        <v>0</v>
      </c>
      <c r="F561">
        <f>TongassRAW!K162</f>
        <v>0</v>
      </c>
    </row>
    <row r="562" spans="1:6" x14ac:dyDescent="0.2">
      <c r="A562" t="s">
        <v>331</v>
      </c>
      <c r="B562">
        <f>TongassRAW!B163</f>
        <v>0</v>
      </c>
      <c r="C562">
        <f>TongassRAW!C163</f>
        <v>0</v>
      </c>
      <c r="D562">
        <f>TongassRAW!D163</f>
        <v>0</v>
      </c>
      <c r="E562">
        <f>TongassRAW!J163</f>
        <v>0</v>
      </c>
      <c r="F562">
        <f>TongassRAW!K163</f>
        <v>0</v>
      </c>
    </row>
    <row r="563" spans="1:6" x14ac:dyDescent="0.2">
      <c r="A563" t="s">
        <v>331</v>
      </c>
      <c r="B563">
        <f>TongassRAW!B164</f>
        <v>0</v>
      </c>
      <c r="C563">
        <f>TongassRAW!C164</f>
        <v>0</v>
      </c>
      <c r="D563">
        <f>TongassRAW!D164</f>
        <v>0</v>
      </c>
      <c r="E563">
        <f>TongassRAW!J164</f>
        <v>0</v>
      </c>
      <c r="F563">
        <f>TongassRAW!K164</f>
        <v>0</v>
      </c>
    </row>
    <row r="564" spans="1:6" x14ac:dyDescent="0.2">
      <c r="A564" t="s">
        <v>331</v>
      </c>
      <c r="B564">
        <f>TongassRAW!B165</f>
        <v>0</v>
      </c>
      <c r="C564">
        <f>TongassRAW!C165</f>
        <v>0</v>
      </c>
      <c r="D564">
        <f>TongassRAW!D165</f>
        <v>0</v>
      </c>
      <c r="E564">
        <f>TongassRAW!J165</f>
        <v>0</v>
      </c>
      <c r="F564">
        <f>TongassRAW!K165</f>
        <v>0</v>
      </c>
    </row>
    <row r="565" spans="1:6" x14ac:dyDescent="0.2">
      <c r="A565" t="s">
        <v>331</v>
      </c>
      <c r="B565">
        <f>TongassRAW!B166</f>
        <v>0</v>
      </c>
      <c r="C565">
        <f>TongassRAW!C166</f>
        <v>0</v>
      </c>
      <c r="D565">
        <f>TongassRAW!D166</f>
        <v>0</v>
      </c>
      <c r="E565">
        <f>TongassRAW!J166</f>
        <v>0</v>
      </c>
      <c r="F565">
        <f>TongassRAW!K166</f>
        <v>0</v>
      </c>
    </row>
    <row r="566" spans="1:6" x14ac:dyDescent="0.2">
      <c r="A566" t="s">
        <v>331</v>
      </c>
      <c r="B566">
        <f>TongassRAW!B167</f>
        <v>0</v>
      </c>
      <c r="C566">
        <f>TongassRAW!C167</f>
        <v>0</v>
      </c>
      <c r="D566">
        <f>TongassRAW!D167</f>
        <v>0</v>
      </c>
      <c r="E566">
        <f>TongassRAW!J167</f>
        <v>0</v>
      </c>
      <c r="F566">
        <f>TongassRAW!K167</f>
        <v>0</v>
      </c>
    </row>
    <row r="567" spans="1:6" x14ac:dyDescent="0.2">
      <c r="A567" t="s">
        <v>331</v>
      </c>
      <c r="B567">
        <f>TongassRAW!B168</f>
        <v>0</v>
      </c>
      <c r="C567">
        <f>TongassRAW!C168</f>
        <v>0</v>
      </c>
      <c r="D567">
        <f>TongassRAW!D168</f>
        <v>0</v>
      </c>
      <c r="E567">
        <f>TongassRAW!J168</f>
        <v>0</v>
      </c>
      <c r="F567">
        <f>TongassRAW!K168</f>
        <v>0</v>
      </c>
    </row>
    <row r="568" spans="1:6" x14ac:dyDescent="0.2">
      <c r="A568" t="s">
        <v>331</v>
      </c>
      <c r="B568">
        <f>TongassRAW!B169</f>
        <v>0</v>
      </c>
      <c r="C568">
        <f>TongassRAW!C169</f>
        <v>0</v>
      </c>
      <c r="D568">
        <f>TongassRAW!D169</f>
        <v>0</v>
      </c>
      <c r="E568">
        <f>TongassRAW!J169</f>
        <v>0</v>
      </c>
      <c r="F568">
        <f>TongassRAW!K169</f>
        <v>0</v>
      </c>
    </row>
    <row r="569" spans="1:6" x14ac:dyDescent="0.2">
      <c r="A569" t="s">
        <v>331</v>
      </c>
      <c r="B569">
        <f>TongassRAW!B170</f>
        <v>0</v>
      </c>
      <c r="C569">
        <f>TongassRAW!C170</f>
        <v>0</v>
      </c>
      <c r="D569">
        <f>TongassRAW!D170</f>
        <v>0</v>
      </c>
      <c r="E569">
        <f>TongassRAW!J170</f>
        <v>0</v>
      </c>
      <c r="F569">
        <f>TongassRAW!K170</f>
        <v>0</v>
      </c>
    </row>
    <row r="570" spans="1:6" x14ac:dyDescent="0.2">
      <c r="A570" t="s">
        <v>331</v>
      </c>
      <c r="B570">
        <f>TongassRAW!B171</f>
        <v>0</v>
      </c>
      <c r="C570">
        <f>TongassRAW!C171</f>
        <v>0</v>
      </c>
      <c r="D570">
        <f>TongassRAW!D171</f>
        <v>0</v>
      </c>
      <c r="E570">
        <f>TongassRAW!J171</f>
        <v>0</v>
      </c>
      <c r="F570">
        <f>TongassRAW!K171</f>
        <v>0</v>
      </c>
    </row>
    <row r="571" spans="1:6" x14ac:dyDescent="0.2">
      <c r="A571" t="s">
        <v>331</v>
      </c>
      <c r="B571">
        <f>TongassRAW!B172</f>
        <v>0</v>
      </c>
      <c r="C571">
        <f>TongassRAW!C172</f>
        <v>0</v>
      </c>
      <c r="D571">
        <f>TongassRAW!D172</f>
        <v>0</v>
      </c>
      <c r="E571">
        <f>TongassRAW!J172</f>
        <v>0</v>
      </c>
      <c r="F571">
        <f>TongassRAW!K172</f>
        <v>0</v>
      </c>
    </row>
    <row r="572" spans="1:6" x14ac:dyDescent="0.2">
      <c r="A572" t="s">
        <v>331</v>
      </c>
      <c r="B572">
        <f>TongassRAW!B173</f>
        <v>0</v>
      </c>
      <c r="C572">
        <f>TongassRAW!C173</f>
        <v>0</v>
      </c>
      <c r="D572">
        <f>TongassRAW!D173</f>
        <v>0</v>
      </c>
      <c r="E572">
        <f>TongassRAW!J173</f>
        <v>0</v>
      </c>
      <c r="F572">
        <f>TongassRAW!K173</f>
        <v>0</v>
      </c>
    </row>
    <row r="573" spans="1:6" x14ac:dyDescent="0.2">
      <c r="A573" t="s">
        <v>331</v>
      </c>
      <c r="B573">
        <f>TongassRAW!B174</f>
        <v>0</v>
      </c>
      <c r="C573">
        <f>TongassRAW!C174</f>
        <v>0</v>
      </c>
      <c r="D573">
        <f>TongassRAW!D174</f>
        <v>0</v>
      </c>
      <c r="E573">
        <f>TongassRAW!J174</f>
        <v>0</v>
      </c>
      <c r="F573">
        <f>TongassRAW!K174</f>
        <v>0</v>
      </c>
    </row>
    <row r="574" spans="1:6" x14ac:dyDescent="0.2">
      <c r="A574" t="s">
        <v>331</v>
      </c>
      <c r="B574">
        <f>TongassRAW!B175</f>
        <v>0</v>
      </c>
      <c r="C574">
        <f>TongassRAW!C175</f>
        <v>0</v>
      </c>
      <c r="D574">
        <f>TongassRAW!D175</f>
        <v>0</v>
      </c>
      <c r="E574">
        <f>TongassRAW!J175</f>
        <v>0</v>
      </c>
      <c r="F574">
        <f>TongassRAW!K175</f>
        <v>0</v>
      </c>
    </row>
    <row r="575" spans="1:6" x14ac:dyDescent="0.2">
      <c r="A575" t="s">
        <v>331</v>
      </c>
      <c r="B575">
        <f>TongassRAW!B176</f>
        <v>0</v>
      </c>
      <c r="C575">
        <f>TongassRAW!C176</f>
        <v>0</v>
      </c>
      <c r="D575">
        <f>TongassRAW!D176</f>
        <v>0</v>
      </c>
      <c r="E575">
        <f>TongassRAW!J176</f>
        <v>0</v>
      </c>
      <c r="F575">
        <f>TongassRAW!K176</f>
        <v>0</v>
      </c>
    </row>
    <row r="576" spans="1:6" x14ac:dyDescent="0.2">
      <c r="A576" t="s">
        <v>331</v>
      </c>
      <c r="B576">
        <f>TongassRAW!B177</f>
        <v>0</v>
      </c>
      <c r="C576">
        <f>TongassRAW!C177</f>
        <v>0</v>
      </c>
      <c r="D576">
        <f>TongassRAW!D177</f>
        <v>0</v>
      </c>
      <c r="E576">
        <f>TongassRAW!J177</f>
        <v>0</v>
      </c>
      <c r="F576">
        <f>TongassRAW!K177</f>
        <v>0</v>
      </c>
    </row>
    <row r="577" spans="1:6" x14ac:dyDescent="0.2">
      <c r="A577" t="s">
        <v>331</v>
      </c>
      <c r="B577">
        <f>TongassRAW!B178</f>
        <v>0</v>
      </c>
      <c r="C577">
        <f>TongassRAW!C178</f>
        <v>0</v>
      </c>
      <c r="D577">
        <f>TongassRAW!D178</f>
        <v>0</v>
      </c>
      <c r="E577">
        <f>TongassRAW!J178</f>
        <v>0</v>
      </c>
      <c r="F577">
        <f>TongassRAW!K178</f>
        <v>0</v>
      </c>
    </row>
    <row r="578" spans="1:6" x14ac:dyDescent="0.2">
      <c r="A578" t="s">
        <v>331</v>
      </c>
      <c r="B578">
        <f>TongassRAW!B179</f>
        <v>0</v>
      </c>
      <c r="C578">
        <f>TongassRAW!C179</f>
        <v>0</v>
      </c>
      <c r="D578">
        <f>TongassRAW!D179</f>
        <v>0</v>
      </c>
      <c r="E578">
        <f>TongassRAW!J179</f>
        <v>0</v>
      </c>
      <c r="F578">
        <f>TongassRAW!K179</f>
        <v>0</v>
      </c>
    </row>
    <row r="579" spans="1:6" x14ac:dyDescent="0.2">
      <c r="A579" t="s">
        <v>331</v>
      </c>
      <c r="B579">
        <f>TongassRAW!B180</f>
        <v>0</v>
      </c>
      <c r="C579">
        <f>TongassRAW!C180</f>
        <v>0</v>
      </c>
      <c r="D579">
        <f>TongassRAW!D180</f>
        <v>0</v>
      </c>
      <c r="E579">
        <f>TongassRAW!J180</f>
        <v>0</v>
      </c>
      <c r="F579">
        <f>TongassRAW!K180</f>
        <v>0</v>
      </c>
    </row>
    <row r="580" spans="1:6" x14ac:dyDescent="0.2">
      <c r="A580" t="s">
        <v>331</v>
      </c>
      <c r="B580">
        <f>TongassRAW!B181</f>
        <v>0</v>
      </c>
      <c r="C580">
        <f>TongassRAW!C181</f>
        <v>0</v>
      </c>
      <c r="D580">
        <f>TongassRAW!D181</f>
        <v>0</v>
      </c>
      <c r="E580">
        <f>TongassRAW!J181</f>
        <v>0</v>
      </c>
      <c r="F580">
        <f>TongassRAW!K181</f>
        <v>0</v>
      </c>
    </row>
    <row r="581" spans="1:6" x14ac:dyDescent="0.2">
      <c r="A581" t="s">
        <v>331</v>
      </c>
      <c r="B581">
        <f>TongassRAW!B182</f>
        <v>0</v>
      </c>
      <c r="C581">
        <f>TongassRAW!C182</f>
        <v>0</v>
      </c>
      <c r="D581">
        <f>TongassRAW!D182</f>
        <v>0</v>
      </c>
      <c r="E581">
        <f>TongassRAW!J182</f>
        <v>0</v>
      </c>
      <c r="F581">
        <f>TongassRAW!K182</f>
        <v>0</v>
      </c>
    </row>
    <row r="582" spans="1:6" x14ac:dyDescent="0.2">
      <c r="A582" t="s">
        <v>331</v>
      </c>
      <c r="B582">
        <f>TongassRAW!B183</f>
        <v>0</v>
      </c>
      <c r="C582">
        <f>TongassRAW!C183</f>
        <v>0</v>
      </c>
      <c r="D582">
        <f>TongassRAW!D183</f>
        <v>0</v>
      </c>
      <c r="E582">
        <f>TongassRAW!J183</f>
        <v>0</v>
      </c>
      <c r="F582">
        <f>TongassRAW!K183</f>
        <v>0</v>
      </c>
    </row>
    <row r="583" spans="1:6" x14ac:dyDescent="0.2">
      <c r="A583" t="s">
        <v>331</v>
      </c>
      <c r="B583">
        <f>TongassRAW!B184</f>
        <v>0</v>
      </c>
      <c r="C583">
        <f>TongassRAW!C184</f>
        <v>0</v>
      </c>
      <c r="D583">
        <f>TongassRAW!D184</f>
        <v>0</v>
      </c>
      <c r="E583">
        <f>TongassRAW!J184</f>
        <v>0</v>
      </c>
      <c r="F583">
        <f>TongassRAW!K184</f>
        <v>0</v>
      </c>
    </row>
    <row r="584" spans="1:6" x14ac:dyDescent="0.2">
      <c r="A584" t="s">
        <v>331</v>
      </c>
      <c r="B584">
        <f>TongassRAW!B185</f>
        <v>0</v>
      </c>
      <c r="C584">
        <f>TongassRAW!C185</f>
        <v>0</v>
      </c>
      <c r="D584">
        <f>TongassRAW!D185</f>
        <v>0</v>
      </c>
      <c r="E584">
        <f>TongassRAW!J185</f>
        <v>0</v>
      </c>
      <c r="F584">
        <f>TongassRAW!K185</f>
        <v>0</v>
      </c>
    </row>
    <row r="585" spans="1:6" x14ac:dyDescent="0.2">
      <c r="A585" t="s">
        <v>331</v>
      </c>
      <c r="B585">
        <f>TongassRAW!B186</f>
        <v>0</v>
      </c>
      <c r="C585">
        <f>TongassRAW!C186</f>
        <v>0</v>
      </c>
      <c r="D585">
        <f>TongassRAW!D186</f>
        <v>0</v>
      </c>
      <c r="E585">
        <f>TongassRAW!J186</f>
        <v>0</v>
      </c>
      <c r="F585">
        <f>TongassRAW!K186</f>
        <v>0</v>
      </c>
    </row>
    <row r="586" spans="1:6" x14ac:dyDescent="0.2">
      <c r="A586" t="s">
        <v>331</v>
      </c>
      <c r="B586">
        <f>TongassRAW!B187</f>
        <v>0</v>
      </c>
      <c r="C586">
        <f>TongassRAW!C187</f>
        <v>0</v>
      </c>
      <c r="D586">
        <f>TongassRAW!D187</f>
        <v>0</v>
      </c>
      <c r="E586">
        <f>TongassRAW!J187</f>
        <v>0</v>
      </c>
      <c r="F586">
        <f>TongassRAW!K187</f>
        <v>0</v>
      </c>
    </row>
    <row r="587" spans="1:6" x14ac:dyDescent="0.2">
      <c r="A587" t="s">
        <v>331</v>
      </c>
      <c r="B587">
        <f>TongassRAW!B188</f>
        <v>0</v>
      </c>
      <c r="C587">
        <f>TongassRAW!C188</f>
        <v>0</v>
      </c>
      <c r="D587">
        <f>TongassRAW!D188</f>
        <v>0</v>
      </c>
      <c r="E587">
        <f>TongassRAW!J188</f>
        <v>0</v>
      </c>
      <c r="F587">
        <f>TongassRAW!K188</f>
        <v>0</v>
      </c>
    </row>
    <row r="588" spans="1:6" x14ac:dyDescent="0.2">
      <c r="A588" t="s">
        <v>331</v>
      </c>
      <c r="B588">
        <f>TongassRAW!B189</f>
        <v>0</v>
      </c>
      <c r="C588">
        <f>TongassRAW!C189</f>
        <v>0</v>
      </c>
      <c r="D588">
        <f>TongassRAW!D189</f>
        <v>0</v>
      </c>
      <c r="E588">
        <f>TongassRAW!J189</f>
        <v>0</v>
      </c>
      <c r="F588">
        <f>TongassRAW!K189</f>
        <v>0</v>
      </c>
    </row>
    <row r="589" spans="1:6" x14ac:dyDescent="0.2">
      <c r="A589" t="s">
        <v>331</v>
      </c>
      <c r="B589">
        <f>TongassRAW!B190</f>
        <v>0</v>
      </c>
      <c r="C589">
        <f>TongassRAW!C190</f>
        <v>0</v>
      </c>
      <c r="D589">
        <f>TongassRAW!D190</f>
        <v>0</v>
      </c>
      <c r="E589">
        <f>TongassRAW!J190</f>
        <v>0</v>
      </c>
      <c r="F589">
        <f>TongassRAW!K190</f>
        <v>0</v>
      </c>
    </row>
    <row r="590" spans="1:6" x14ac:dyDescent="0.2">
      <c r="A590" t="s">
        <v>331</v>
      </c>
      <c r="B590">
        <f>TongassRAW!B191</f>
        <v>0</v>
      </c>
      <c r="C590">
        <f>TongassRAW!C191</f>
        <v>0</v>
      </c>
      <c r="D590">
        <f>TongassRAW!D191</f>
        <v>0</v>
      </c>
      <c r="E590">
        <f>TongassRAW!J191</f>
        <v>0</v>
      </c>
      <c r="F590">
        <f>TongassRAW!K191</f>
        <v>0</v>
      </c>
    </row>
    <row r="591" spans="1:6" x14ac:dyDescent="0.2">
      <c r="A591" t="s">
        <v>331</v>
      </c>
      <c r="B591">
        <f>TongassRAW!B192</f>
        <v>0</v>
      </c>
      <c r="C591">
        <f>TongassRAW!C192</f>
        <v>0</v>
      </c>
      <c r="D591">
        <f>TongassRAW!D192</f>
        <v>0</v>
      </c>
      <c r="E591">
        <f>TongassRAW!J192</f>
        <v>0</v>
      </c>
      <c r="F591">
        <f>TongassRAW!K192</f>
        <v>0</v>
      </c>
    </row>
    <row r="592" spans="1:6" x14ac:dyDescent="0.2">
      <c r="A592" t="s">
        <v>331</v>
      </c>
      <c r="B592">
        <f>TongassRAW!B193</f>
        <v>0</v>
      </c>
      <c r="C592">
        <f>TongassRAW!C193</f>
        <v>0</v>
      </c>
      <c r="D592">
        <f>TongassRAW!D193</f>
        <v>0</v>
      </c>
      <c r="E592">
        <f>TongassRAW!J193</f>
        <v>0</v>
      </c>
      <c r="F592">
        <f>TongassRAW!K193</f>
        <v>0</v>
      </c>
    </row>
    <row r="593" spans="1:6" x14ac:dyDescent="0.2">
      <c r="A593" t="s">
        <v>331</v>
      </c>
      <c r="B593">
        <f>TongassRAW!B194</f>
        <v>0</v>
      </c>
      <c r="C593">
        <f>TongassRAW!C194</f>
        <v>0</v>
      </c>
      <c r="D593">
        <f>TongassRAW!D194</f>
        <v>0</v>
      </c>
      <c r="E593">
        <f>TongassRAW!J194</f>
        <v>0</v>
      </c>
      <c r="F593">
        <f>TongassRAW!K194</f>
        <v>0</v>
      </c>
    </row>
    <row r="594" spans="1:6" x14ac:dyDescent="0.2">
      <c r="A594" t="s">
        <v>331</v>
      </c>
      <c r="B594">
        <f>TongassRAW!B195</f>
        <v>0</v>
      </c>
      <c r="C594">
        <f>TongassRAW!C195</f>
        <v>0</v>
      </c>
      <c r="D594">
        <f>TongassRAW!D195</f>
        <v>0</v>
      </c>
      <c r="E594">
        <f>TongassRAW!J195</f>
        <v>0</v>
      </c>
      <c r="F594">
        <f>TongassRAW!K195</f>
        <v>0</v>
      </c>
    </row>
    <row r="595" spans="1:6" x14ac:dyDescent="0.2">
      <c r="A595" t="s">
        <v>331</v>
      </c>
      <c r="B595">
        <f>TongassRAW!B196</f>
        <v>0</v>
      </c>
      <c r="C595">
        <f>TongassRAW!C196</f>
        <v>0</v>
      </c>
      <c r="D595">
        <f>TongassRAW!D196</f>
        <v>0</v>
      </c>
      <c r="E595">
        <f>TongassRAW!J196</f>
        <v>0</v>
      </c>
      <c r="F595">
        <f>TongassRAW!K196</f>
        <v>0</v>
      </c>
    </row>
    <row r="596" spans="1:6" x14ac:dyDescent="0.2">
      <c r="A596" t="s">
        <v>331</v>
      </c>
      <c r="B596">
        <f>TongassRAW!B197</f>
        <v>0</v>
      </c>
      <c r="C596">
        <f>TongassRAW!C197</f>
        <v>0</v>
      </c>
      <c r="D596">
        <f>TongassRAW!D197</f>
        <v>0</v>
      </c>
      <c r="E596">
        <f>TongassRAW!J197</f>
        <v>0</v>
      </c>
      <c r="F596">
        <f>TongassRAW!K197</f>
        <v>0</v>
      </c>
    </row>
    <row r="597" spans="1:6" x14ac:dyDescent="0.2">
      <c r="A597" t="s">
        <v>331</v>
      </c>
      <c r="B597">
        <f>TongassRAW!B198</f>
        <v>0</v>
      </c>
      <c r="C597">
        <f>TongassRAW!C198</f>
        <v>0</v>
      </c>
      <c r="D597">
        <f>TongassRAW!D198</f>
        <v>0</v>
      </c>
      <c r="E597">
        <f>TongassRAW!J198</f>
        <v>0</v>
      </c>
      <c r="F597">
        <f>TongassRAW!K198</f>
        <v>0</v>
      </c>
    </row>
    <row r="598" spans="1:6" x14ac:dyDescent="0.2">
      <c r="A598" t="s">
        <v>331</v>
      </c>
      <c r="B598">
        <f>TongassRAW!B199</f>
        <v>0</v>
      </c>
      <c r="C598">
        <f>TongassRAW!C199</f>
        <v>0</v>
      </c>
      <c r="D598">
        <f>TongassRAW!D199</f>
        <v>0</v>
      </c>
      <c r="E598">
        <f>TongassRAW!J199</f>
        <v>0</v>
      </c>
      <c r="F598">
        <f>TongassRAW!K199</f>
        <v>0</v>
      </c>
    </row>
    <row r="599" spans="1:6" x14ac:dyDescent="0.2">
      <c r="A599" t="s">
        <v>331</v>
      </c>
      <c r="B599">
        <f>TongassRAW!B200</f>
        <v>0</v>
      </c>
      <c r="C599">
        <f>TongassRAW!C200</f>
        <v>0</v>
      </c>
      <c r="D599">
        <f>TongassRAW!D200</f>
        <v>0</v>
      </c>
      <c r="E599">
        <f>TongassRAW!J200</f>
        <v>0</v>
      </c>
      <c r="F599">
        <f>TongassRAW!K200</f>
        <v>0</v>
      </c>
    </row>
    <row r="600" spans="1:6" x14ac:dyDescent="0.2">
      <c r="A600" t="s">
        <v>331</v>
      </c>
      <c r="B600">
        <f>TongassRAW!B201</f>
        <v>0</v>
      </c>
      <c r="C600">
        <f>TongassRAW!C201</f>
        <v>0</v>
      </c>
      <c r="D600">
        <f>TongassRAW!D201</f>
        <v>0</v>
      </c>
      <c r="E600">
        <f>TongassRAW!J201</f>
        <v>0</v>
      </c>
      <c r="F600">
        <f>TongassRAW!K201</f>
        <v>0</v>
      </c>
    </row>
    <row r="601" spans="1:6" x14ac:dyDescent="0.2">
      <c r="A601" t="s">
        <v>331</v>
      </c>
      <c r="B601">
        <f>TongassRAW!B202</f>
        <v>0</v>
      </c>
      <c r="C601">
        <f>TongassRAW!C202</f>
        <v>0</v>
      </c>
      <c r="D601">
        <f>TongassRAW!D202</f>
        <v>0</v>
      </c>
      <c r="E601">
        <f>TongassRAW!J202</f>
        <v>0</v>
      </c>
      <c r="F601">
        <f>TongassRAW!K202</f>
        <v>0</v>
      </c>
    </row>
    <row r="602" spans="1:6" x14ac:dyDescent="0.2">
      <c r="A602" t="s">
        <v>331</v>
      </c>
      <c r="B602">
        <f>TongassRAW!B203</f>
        <v>0</v>
      </c>
      <c r="C602">
        <f>TongassRAW!C203</f>
        <v>0</v>
      </c>
      <c r="D602">
        <f>TongassRAW!D203</f>
        <v>0</v>
      </c>
      <c r="E602">
        <f>TongassRAW!J203</f>
        <v>0</v>
      </c>
      <c r="F602">
        <f>TongassRAW!K203</f>
        <v>0</v>
      </c>
    </row>
    <row r="603" spans="1:6" x14ac:dyDescent="0.2">
      <c r="A603" t="s">
        <v>331</v>
      </c>
      <c r="B603">
        <f>TongassRAW!B204</f>
        <v>0</v>
      </c>
      <c r="C603">
        <f>TongassRAW!C204</f>
        <v>0</v>
      </c>
      <c r="D603">
        <f>TongassRAW!D204</f>
        <v>0</v>
      </c>
      <c r="E603">
        <f>TongassRAW!J204</f>
        <v>0</v>
      </c>
      <c r="F603">
        <f>TongassRAW!K204</f>
        <v>0</v>
      </c>
    </row>
    <row r="604" spans="1:6" x14ac:dyDescent="0.2">
      <c r="A604" t="s">
        <v>331</v>
      </c>
      <c r="B604">
        <f>TongassRAW!B205</f>
        <v>0</v>
      </c>
      <c r="C604">
        <f>TongassRAW!C205</f>
        <v>0</v>
      </c>
      <c r="D604">
        <f>TongassRAW!D205</f>
        <v>0</v>
      </c>
      <c r="E604">
        <f>TongassRAW!J205</f>
        <v>0</v>
      </c>
      <c r="F604">
        <f>TongassRAW!K205</f>
        <v>0</v>
      </c>
    </row>
    <row r="605" spans="1:6" x14ac:dyDescent="0.2">
      <c r="A605" t="s">
        <v>331</v>
      </c>
      <c r="B605">
        <f>TongassRAW!B206</f>
        <v>0</v>
      </c>
      <c r="C605">
        <f>TongassRAW!C206</f>
        <v>0</v>
      </c>
      <c r="D605">
        <f>TongassRAW!D206</f>
        <v>0</v>
      </c>
      <c r="E605">
        <f>TongassRAW!J206</f>
        <v>0</v>
      </c>
      <c r="F605">
        <f>TongassRAW!K206</f>
        <v>0</v>
      </c>
    </row>
    <row r="606" spans="1:6" x14ac:dyDescent="0.2">
      <c r="A606" t="s">
        <v>331</v>
      </c>
      <c r="B606">
        <f>TongassRAW!B207</f>
        <v>0</v>
      </c>
      <c r="C606">
        <f>TongassRAW!C207</f>
        <v>0</v>
      </c>
      <c r="D606">
        <f>TongassRAW!D207</f>
        <v>0</v>
      </c>
      <c r="E606">
        <f>TongassRAW!J207</f>
        <v>0</v>
      </c>
      <c r="F606">
        <f>TongassRAW!K207</f>
        <v>0</v>
      </c>
    </row>
    <row r="607" spans="1:6" x14ac:dyDescent="0.2">
      <c r="A607" t="s">
        <v>331</v>
      </c>
      <c r="B607">
        <f>TongassRAW!B208</f>
        <v>0</v>
      </c>
      <c r="C607">
        <f>TongassRAW!C208</f>
        <v>0</v>
      </c>
      <c r="D607">
        <f>TongassRAW!D208</f>
        <v>0</v>
      </c>
      <c r="E607">
        <f>TongassRAW!J208</f>
        <v>0</v>
      </c>
      <c r="F607">
        <f>TongassRAW!K208</f>
        <v>0</v>
      </c>
    </row>
    <row r="608" spans="1:6" x14ac:dyDescent="0.2">
      <c r="A608" t="s">
        <v>331</v>
      </c>
      <c r="B608">
        <f>TongassRAW!B209</f>
        <v>0</v>
      </c>
      <c r="C608">
        <f>TongassRAW!C209</f>
        <v>0</v>
      </c>
      <c r="D608">
        <f>TongassRAW!D209</f>
        <v>0</v>
      </c>
      <c r="E608">
        <f>TongassRAW!J209</f>
        <v>0</v>
      </c>
      <c r="F608">
        <f>TongassRAW!K209</f>
        <v>0</v>
      </c>
    </row>
    <row r="609" spans="1:6" x14ac:dyDescent="0.2">
      <c r="A609" t="s">
        <v>331</v>
      </c>
      <c r="B609">
        <f>TongassRAW!B210</f>
        <v>0</v>
      </c>
      <c r="C609">
        <f>TongassRAW!C210</f>
        <v>0</v>
      </c>
      <c r="D609">
        <f>TongassRAW!D210</f>
        <v>0</v>
      </c>
      <c r="E609">
        <f>TongassRAW!J210</f>
        <v>0</v>
      </c>
      <c r="F609">
        <f>TongassRAW!K210</f>
        <v>0</v>
      </c>
    </row>
    <row r="610" spans="1:6" x14ac:dyDescent="0.2">
      <c r="A610" t="s">
        <v>331</v>
      </c>
      <c r="B610">
        <f>TongassRAW!B211</f>
        <v>0</v>
      </c>
      <c r="C610">
        <f>TongassRAW!C211</f>
        <v>0</v>
      </c>
      <c r="D610">
        <f>TongassRAW!D211</f>
        <v>0</v>
      </c>
      <c r="E610">
        <f>TongassRAW!J211</f>
        <v>0</v>
      </c>
      <c r="F610">
        <f>TongassRAW!K211</f>
        <v>0</v>
      </c>
    </row>
    <row r="611" spans="1:6" x14ac:dyDescent="0.2">
      <c r="A611" t="s">
        <v>331</v>
      </c>
      <c r="B611">
        <f>TongassRAW!B212</f>
        <v>0</v>
      </c>
      <c r="C611">
        <f>TongassRAW!C212</f>
        <v>0</v>
      </c>
      <c r="D611">
        <f>TongassRAW!D212</f>
        <v>0</v>
      </c>
      <c r="E611">
        <f>TongassRAW!J212</f>
        <v>0</v>
      </c>
      <c r="F611">
        <f>TongassRAW!K212</f>
        <v>0</v>
      </c>
    </row>
    <row r="612" spans="1:6" x14ac:dyDescent="0.2">
      <c r="A612" t="s">
        <v>331</v>
      </c>
      <c r="B612">
        <f>TongassRAW!B213</f>
        <v>0</v>
      </c>
      <c r="C612">
        <f>TongassRAW!C213</f>
        <v>0</v>
      </c>
      <c r="D612">
        <f>TongassRAW!D213</f>
        <v>0</v>
      </c>
      <c r="E612">
        <f>TongassRAW!J213</f>
        <v>0</v>
      </c>
      <c r="F612">
        <f>TongassRAW!K213</f>
        <v>0</v>
      </c>
    </row>
    <row r="613" spans="1:6" x14ac:dyDescent="0.2">
      <c r="A613" t="s">
        <v>331</v>
      </c>
      <c r="B613">
        <f>TongassRAW!B214</f>
        <v>0</v>
      </c>
      <c r="C613">
        <f>TongassRAW!C214</f>
        <v>0</v>
      </c>
      <c r="D613">
        <f>TongassRAW!D214</f>
        <v>0</v>
      </c>
      <c r="E613">
        <f>TongassRAW!J214</f>
        <v>0</v>
      </c>
      <c r="F613">
        <f>TongassRAW!K214</f>
        <v>0</v>
      </c>
    </row>
    <row r="614" spans="1:6" x14ac:dyDescent="0.2">
      <c r="A614" t="s">
        <v>331</v>
      </c>
      <c r="B614">
        <f>TongassRAW!B215</f>
        <v>0</v>
      </c>
      <c r="C614">
        <f>TongassRAW!C215</f>
        <v>0</v>
      </c>
      <c r="D614">
        <f>TongassRAW!D215</f>
        <v>0</v>
      </c>
      <c r="E614">
        <f>TongassRAW!J215</f>
        <v>0</v>
      </c>
      <c r="F614">
        <f>TongassRAW!K215</f>
        <v>0</v>
      </c>
    </row>
    <row r="615" spans="1:6" x14ac:dyDescent="0.2">
      <c r="A615" t="s">
        <v>331</v>
      </c>
      <c r="B615">
        <f>TongassRAW!B216</f>
        <v>0</v>
      </c>
      <c r="C615">
        <f>TongassRAW!C216</f>
        <v>0</v>
      </c>
      <c r="D615">
        <f>TongassRAW!D216</f>
        <v>0</v>
      </c>
      <c r="E615">
        <f>TongassRAW!J216</f>
        <v>0</v>
      </c>
      <c r="F615">
        <f>TongassRAW!K216</f>
        <v>0</v>
      </c>
    </row>
    <row r="616" spans="1:6" x14ac:dyDescent="0.2">
      <c r="A616" t="s">
        <v>331</v>
      </c>
      <c r="B616">
        <f>TongassRAW!B217</f>
        <v>0</v>
      </c>
      <c r="C616">
        <f>TongassRAW!C217</f>
        <v>0</v>
      </c>
      <c r="D616">
        <f>TongassRAW!D217</f>
        <v>0</v>
      </c>
      <c r="E616">
        <f>TongassRAW!J217</f>
        <v>0</v>
      </c>
      <c r="F616">
        <f>TongassRAW!K217</f>
        <v>0</v>
      </c>
    </row>
    <row r="617" spans="1:6" x14ac:dyDescent="0.2">
      <c r="A617" t="s">
        <v>331</v>
      </c>
      <c r="B617">
        <f>TongassRAW!B218</f>
        <v>0</v>
      </c>
      <c r="C617">
        <f>TongassRAW!C218</f>
        <v>0</v>
      </c>
      <c r="D617">
        <f>TongassRAW!D218</f>
        <v>0</v>
      </c>
      <c r="E617">
        <f>TongassRAW!J218</f>
        <v>0</v>
      </c>
      <c r="F617">
        <f>TongassRAW!K218</f>
        <v>0</v>
      </c>
    </row>
    <row r="618" spans="1:6" x14ac:dyDescent="0.2">
      <c r="A618" t="s">
        <v>331</v>
      </c>
      <c r="B618">
        <f>TongassRAW!B219</f>
        <v>0</v>
      </c>
      <c r="C618">
        <f>TongassRAW!C219</f>
        <v>0</v>
      </c>
      <c r="D618">
        <f>TongassRAW!D219</f>
        <v>0</v>
      </c>
      <c r="E618">
        <f>TongassRAW!J219</f>
        <v>0</v>
      </c>
      <c r="F618">
        <f>TongassRAW!K219</f>
        <v>0</v>
      </c>
    </row>
    <row r="619" spans="1:6" x14ac:dyDescent="0.2">
      <c r="A619" t="s">
        <v>331</v>
      </c>
      <c r="B619">
        <f>TongassRAW!B220</f>
        <v>0</v>
      </c>
      <c r="C619">
        <f>TongassRAW!C220</f>
        <v>0</v>
      </c>
      <c r="D619">
        <f>TongassRAW!D220</f>
        <v>0</v>
      </c>
      <c r="E619">
        <f>TongassRAW!J220</f>
        <v>0</v>
      </c>
      <c r="F619">
        <f>TongassRAW!K220</f>
        <v>0</v>
      </c>
    </row>
    <row r="620" spans="1:6" x14ac:dyDescent="0.2">
      <c r="A620" t="s">
        <v>331</v>
      </c>
      <c r="B620">
        <f>TongassRAW!B221</f>
        <v>0</v>
      </c>
      <c r="C620">
        <f>TongassRAW!C221</f>
        <v>0</v>
      </c>
      <c r="D620">
        <f>TongassRAW!D221</f>
        <v>0</v>
      </c>
      <c r="E620">
        <f>TongassRAW!J221</f>
        <v>0</v>
      </c>
      <c r="F620">
        <f>TongassRAW!K221</f>
        <v>0</v>
      </c>
    </row>
    <row r="621" spans="1:6" x14ac:dyDescent="0.2">
      <c r="A621" t="s">
        <v>331</v>
      </c>
      <c r="B621">
        <f>TongassRAW!B222</f>
        <v>0</v>
      </c>
      <c r="C621">
        <f>TongassRAW!C222</f>
        <v>0</v>
      </c>
      <c r="D621">
        <f>TongassRAW!D222</f>
        <v>0</v>
      </c>
      <c r="E621">
        <f>TongassRAW!J222</f>
        <v>0</v>
      </c>
      <c r="F621">
        <f>TongassRAW!K222</f>
        <v>0</v>
      </c>
    </row>
    <row r="622" spans="1:6" x14ac:dyDescent="0.2">
      <c r="A622" t="s">
        <v>331</v>
      </c>
      <c r="B622">
        <f>TongassRAW!B223</f>
        <v>0</v>
      </c>
      <c r="C622">
        <f>TongassRAW!C223</f>
        <v>0</v>
      </c>
      <c r="D622">
        <f>TongassRAW!D223</f>
        <v>0</v>
      </c>
      <c r="E622">
        <f>TongassRAW!J223</f>
        <v>0</v>
      </c>
      <c r="F622">
        <f>TongassRAW!K223</f>
        <v>0</v>
      </c>
    </row>
    <row r="623" spans="1:6" x14ac:dyDescent="0.2">
      <c r="A623" t="s">
        <v>331</v>
      </c>
      <c r="B623">
        <f>TongassRAW!B224</f>
        <v>0</v>
      </c>
      <c r="C623">
        <f>TongassRAW!C224</f>
        <v>0</v>
      </c>
      <c r="D623">
        <f>TongassRAW!D224</f>
        <v>0</v>
      </c>
      <c r="E623">
        <f>TongassRAW!J224</f>
        <v>0</v>
      </c>
      <c r="F623">
        <f>TongassRAW!K224</f>
        <v>0</v>
      </c>
    </row>
    <row r="624" spans="1:6" x14ac:dyDescent="0.2">
      <c r="A624" t="s">
        <v>331</v>
      </c>
      <c r="B624">
        <f>TongassRAW!B225</f>
        <v>0</v>
      </c>
      <c r="C624">
        <f>TongassRAW!C225</f>
        <v>0</v>
      </c>
      <c r="D624">
        <f>TongassRAW!D225</f>
        <v>0</v>
      </c>
      <c r="E624">
        <f>TongassRAW!J225</f>
        <v>0</v>
      </c>
      <c r="F624">
        <f>TongassRAW!K225</f>
        <v>0</v>
      </c>
    </row>
    <row r="625" spans="1:6" x14ac:dyDescent="0.2">
      <c r="A625" t="s">
        <v>331</v>
      </c>
      <c r="B625">
        <f>TongassRAW!B226</f>
        <v>0</v>
      </c>
      <c r="C625">
        <f>TongassRAW!C226</f>
        <v>0</v>
      </c>
      <c r="D625">
        <f>TongassRAW!D226</f>
        <v>0</v>
      </c>
      <c r="E625">
        <f>TongassRAW!J226</f>
        <v>0</v>
      </c>
      <c r="F625">
        <f>TongassRAW!K226</f>
        <v>0</v>
      </c>
    </row>
    <row r="626" spans="1:6" x14ac:dyDescent="0.2">
      <c r="A626" t="s">
        <v>331</v>
      </c>
      <c r="B626">
        <f>TongassRAW!B227</f>
        <v>0</v>
      </c>
      <c r="C626">
        <f>TongassRAW!C227</f>
        <v>0</v>
      </c>
      <c r="D626">
        <f>TongassRAW!D227</f>
        <v>0</v>
      </c>
      <c r="E626">
        <f>TongassRAW!J227</f>
        <v>0</v>
      </c>
      <c r="F626">
        <f>TongassRAW!K227</f>
        <v>0</v>
      </c>
    </row>
    <row r="627" spans="1:6" x14ac:dyDescent="0.2">
      <c r="A627" t="s">
        <v>331</v>
      </c>
      <c r="B627">
        <f>TongassRAW!B228</f>
        <v>0</v>
      </c>
      <c r="C627">
        <f>TongassRAW!C228</f>
        <v>0</v>
      </c>
      <c r="D627">
        <f>TongassRAW!D228</f>
        <v>0</v>
      </c>
      <c r="E627">
        <f>TongassRAW!J228</f>
        <v>0</v>
      </c>
      <c r="F627">
        <f>TongassRAW!K228</f>
        <v>0</v>
      </c>
    </row>
    <row r="628" spans="1:6" x14ac:dyDescent="0.2">
      <c r="A628" t="s">
        <v>331</v>
      </c>
      <c r="B628">
        <f>TongassRAW!B229</f>
        <v>0</v>
      </c>
      <c r="C628">
        <f>TongassRAW!C229</f>
        <v>0</v>
      </c>
      <c r="D628">
        <f>TongassRAW!D229</f>
        <v>0</v>
      </c>
      <c r="E628">
        <f>TongassRAW!J229</f>
        <v>0</v>
      </c>
      <c r="F628">
        <f>TongassRAW!K229</f>
        <v>0</v>
      </c>
    </row>
    <row r="629" spans="1:6" x14ac:dyDescent="0.2">
      <c r="A629" t="s">
        <v>331</v>
      </c>
      <c r="B629">
        <f>TongassRAW!B230</f>
        <v>0</v>
      </c>
      <c r="C629">
        <f>TongassRAW!C230</f>
        <v>0</v>
      </c>
      <c r="D629">
        <f>TongassRAW!D230</f>
        <v>0</v>
      </c>
      <c r="E629">
        <f>TongassRAW!J230</f>
        <v>0</v>
      </c>
      <c r="F629">
        <f>TongassRAW!K230</f>
        <v>0</v>
      </c>
    </row>
    <row r="630" spans="1:6" x14ac:dyDescent="0.2">
      <c r="A630" t="s">
        <v>331</v>
      </c>
      <c r="B630">
        <f>TongassRAW!B231</f>
        <v>0</v>
      </c>
      <c r="C630">
        <f>TongassRAW!C231</f>
        <v>0</v>
      </c>
      <c r="D630">
        <f>TongassRAW!D231</f>
        <v>0</v>
      </c>
      <c r="E630">
        <f>TongassRAW!J231</f>
        <v>0</v>
      </c>
      <c r="F630">
        <f>TongassRAW!K231</f>
        <v>0</v>
      </c>
    </row>
    <row r="631" spans="1:6" x14ac:dyDescent="0.2">
      <c r="A631" t="s">
        <v>331</v>
      </c>
      <c r="B631">
        <f>TongassRAW!B232</f>
        <v>0</v>
      </c>
      <c r="C631">
        <f>TongassRAW!C232</f>
        <v>0</v>
      </c>
      <c r="D631">
        <f>TongassRAW!D232</f>
        <v>0</v>
      </c>
      <c r="E631">
        <f>TongassRAW!J232</f>
        <v>0</v>
      </c>
      <c r="F631">
        <f>TongassRAW!K232</f>
        <v>0</v>
      </c>
    </row>
    <row r="632" spans="1:6" x14ac:dyDescent="0.2">
      <c r="A632" t="s">
        <v>331</v>
      </c>
      <c r="B632">
        <f>TongassRAW!B233</f>
        <v>0</v>
      </c>
      <c r="C632">
        <f>TongassRAW!C233</f>
        <v>0</v>
      </c>
      <c r="D632">
        <f>TongassRAW!D233</f>
        <v>0</v>
      </c>
      <c r="E632">
        <f>TongassRAW!J233</f>
        <v>0</v>
      </c>
      <c r="F632">
        <f>TongassRAW!K233</f>
        <v>0</v>
      </c>
    </row>
    <row r="633" spans="1:6" x14ac:dyDescent="0.2">
      <c r="A633" t="s">
        <v>331</v>
      </c>
      <c r="B633">
        <f>TongassRAW!B234</f>
        <v>0</v>
      </c>
      <c r="C633">
        <f>TongassRAW!C234</f>
        <v>0</v>
      </c>
      <c r="D633">
        <f>TongassRAW!D234</f>
        <v>0</v>
      </c>
      <c r="E633">
        <f>TongassRAW!J234</f>
        <v>0</v>
      </c>
      <c r="F633">
        <f>TongassRAW!K234</f>
        <v>0</v>
      </c>
    </row>
    <row r="634" spans="1:6" x14ac:dyDescent="0.2">
      <c r="A634" t="s">
        <v>331</v>
      </c>
      <c r="B634">
        <f>TongassRAW!B235</f>
        <v>0</v>
      </c>
      <c r="C634">
        <f>TongassRAW!C235</f>
        <v>0</v>
      </c>
      <c r="D634">
        <f>TongassRAW!D235</f>
        <v>0</v>
      </c>
      <c r="E634">
        <f>TongassRAW!J235</f>
        <v>0</v>
      </c>
      <c r="F634">
        <f>TongassRAW!K235</f>
        <v>0</v>
      </c>
    </row>
    <row r="635" spans="1:6" x14ac:dyDescent="0.2">
      <c r="A635" t="s">
        <v>331</v>
      </c>
      <c r="B635">
        <f>TongassRAW!B236</f>
        <v>0</v>
      </c>
      <c r="C635">
        <f>TongassRAW!C236</f>
        <v>0</v>
      </c>
      <c r="D635">
        <f>TongassRAW!D236</f>
        <v>0</v>
      </c>
      <c r="E635">
        <f>TongassRAW!J236</f>
        <v>0</v>
      </c>
      <c r="F635">
        <f>TongassRAW!K236</f>
        <v>0</v>
      </c>
    </row>
    <row r="636" spans="1:6" x14ac:dyDescent="0.2">
      <c r="A636" t="s">
        <v>331</v>
      </c>
      <c r="B636">
        <f>TongassRAW!B237</f>
        <v>0</v>
      </c>
      <c r="C636">
        <f>TongassRAW!C237</f>
        <v>0</v>
      </c>
      <c r="D636">
        <f>TongassRAW!D237</f>
        <v>0</v>
      </c>
      <c r="E636">
        <f>TongassRAW!J237</f>
        <v>0</v>
      </c>
      <c r="F636">
        <f>TongassRAW!K237</f>
        <v>0</v>
      </c>
    </row>
    <row r="637" spans="1:6" x14ac:dyDescent="0.2">
      <c r="A637" t="s">
        <v>331</v>
      </c>
      <c r="B637">
        <f>TongassRAW!B238</f>
        <v>0</v>
      </c>
      <c r="C637">
        <f>TongassRAW!C238</f>
        <v>0</v>
      </c>
      <c r="D637">
        <f>TongassRAW!D238</f>
        <v>0</v>
      </c>
      <c r="E637">
        <f>TongassRAW!J238</f>
        <v>0</v>
      </c>
      <c r="F637">
        <f>TongassRAW!K238</f>
        <v>0</v>
      </c>
    </row>
    <row r="638" spans="1:6" x14ac:dyDescent="0.2">
      <c r="A638" t="s">
        <v>331</v>
      </c>
      <c r="B638">
        <f>TongassRAW!B239</f>
        <v>0</v>
      </c>
      <c r="C638">
        <f>TongassRAW!C239</f>
        <v>0</v>
      </c>
      <c r="D638">
        <f>TongassRAW!D239</f>
        <v>0</v>
      </c>
      <c r="E638">
        <f>TongassRAW!J239</f>
        <v>0</v>
      </c>
      <c r="F638">
        <f>TongassRAW!K239</f>
        <v>0</v>
      </c>
    </row>
    <row r="639" spans="1:6" x14ac:dyDescent="0.2">
      <c r="A639" t="s">
        <v>331</v>
      </c>
      <c r="B639">
        <f>TongassRAW!B240</f>
        <v>0</v>
      </c>
      <c r="C639">
        <f>TongassRAW!C240</f>
        <v>0</v>
      </c>
      <c r="D639">
        <f>TongassRAW!D240</f>
        <v>0</v>
      </c>
      <c r="E639">
        <f>TongassRAW!J240</f>
        <v>0</v>
      </c>
      <c r="F639">
        <f>TongassRAW!K240</f>
        <v>0</v>
      </c>
    </row>
    <row r="640" spans="1:6" x14ac:dyDescent="0.2">
      <c r="A640" t="s">
        <v>331</v>
      </c>
      <c r="B640">
        <f>TongassRAW!B241</f>
        <v>0</v>
      </c>
      <c r="C640">
        <f>TongassRAW!C241</f>
        <v>0</v>
      </c>
      <c r="D640">
        <f>TongassRAW!D241</f>
        <v>0</v>
      </c>
      <c r="E640">
        <f>TongassRAW!J241</f>
        <v>0</v>
      </c>
      <c r="F640">
        <f>TongassRAW!K241</f>
        <v>0</v>
      </c>
    </row>
    <row r="641" spans="1:6" x14ac:dyDescent="0.2">
      <c r="A641" t="s">
        <v>331</v>
      </c>
      <c r="B641">
        <f>TongassRAW!B242</f>
        <v>0</v>
      </c>
      <c r="C641">
        <f>TongassRAW!C242</f>
        <v>0</v>
      </c>
      <c r="D641">
        <f>TongassRAW!D242</f>
        <v>0</v>
      </c>
      <c r="E641">
        <f>TongassRAW!J242</f>
        <v>0</v>
      </c>
      <c r="F641">
        <f>TongassRAW!K242</f>
        <v>0</v>
      </c>
    </row>
    <row r="642" spans="1:6" x14ac:dyDescent="0.2">
      <c r="A642" t="s">
        <v>331</v>
      </c>
      <c r="B642">
        <f>TongassRAW!B243</f>
        <v>0</v>
      </c>
      <c r="C642">
        <f>TongassRAW!C243</f>
        <v>0</v>
      </c>
      <c r="D642">
        <f>TongassRAW!D243</f>
        <v>0</v>
      </c>
      <c r="E642">
        <f>TongassRAW!J243</f>
        <v>0</v>
      </c>
      <c r="F642">
        <f>TongassRAW!K243</f>
        <v>0</v>
      </c>
    </row>
    <row r="643" spans="1:6" x14ac:dyDescent="0.2">
      <c r="A643" t="s">
        <v>331</v>
      </c>
      <c r="B643">
        <f>TongassRAW!B244</f>
        <v>0</v>
      </c>
      <c r="C643">
        <f>TongassRAW!C244</f>
        <v>0</v>
      </c>
      <c r="D643">
        <f>TongassRAW!D244</f>
        <v>0</v>
      </c>
      <c r="E643">
        <f>TongassRAW!J244</f>
        <v>0</v>
      </c>
      <c r="F643">
        <f>TongassRAW!K244</f>
        <v>0</v>
      </c>
    </row>
    <row r="644" spans="1:6" x14ac:dyDescent="0.2">
      <c r="A644" t="s">
        <v>331</v>
      </c>
      <c r="B644">
        <f>TongassRAW!B245</f>
        <v>0</v>
      </c>
      <c r="C644">
        <f>TongassRAW!C245</f>
        <v>0</v>
      </c>
      <c r="D644">
        <f>TongassRAW!D245</f>
        <v>0</v>
      </c>
      <c r="E644">
        <f>TongassRAW!J245</f>
        <v>0</v>
      </c>
      <c r="F644">
        <f>TongassRAW!K245</f>
        <v>0</v>
      </c>
    </row>
    <row r="645" spans="1:6" x14ac:dyDescent="0.2">
      <c r="A645" t="s">
        <v>331</v>
      </c>
      <c r="B645">
        <f>TongassRAW!B246</f>
        <v>0</v>
      </c>
      <c r="C645">
        <f>TongassRAW!C246</f>
        <v>0</v>
      </c>
      <c r="D645">
        <f>TongassRAW!D246</f>
        <v>0</v>
      </c>
      <c r="E645">
        <f>TongassRAW!J246</f>
        <v>0</v>
      </c>
      <c r="F645">
        <f>TongassRAW!K246</f>
        <v>0</v>
      </c>
    </row>
    <row r="646" spans="1:6" x14ac:dyDescent="0.2">
      <c r="A646" t="s">
        <v>331</v>
      </c>
      <c r="B646">
        <f>TongassRAW!B247</f>
        <v>0</v>
      </c>
      <c r="C646">
        <f>TongassRAW!C247</f>
        <v>0</v>
      </c>
      <c r="D646">
        <f>TongassRAW!D247</f>
        <v>0</v>
      </c>
      <c r="E646">
        <f>TongassRAW!J247</f>
        <v>0</v>
      </c>
      <c r="F646">
        <f>TongassRAW!K247</f>
        <v>0</v>
      </c>
    </row>
    <row r="647" spans="1:6" x14ac:dyDescent="0.2">
      <c r="A647" t="s">
        <v>331</v>
      </c>
      <c r="B647">
        <f>TongassRAW!B248</f>
        <v>0</v>
      </c>
      <c r="C647">
        <f>TongassRAW!C248</f>
        <v>0</v>
      </c>
      <c r="D647">
        <f>TongassRAW!D248</f>
        <v>0</v>
      </c>
      <c r="E647">
        <f>TongassRAW!J248</f>
        <v>0</v>
      </c>
      <c r="F647">
        <f>TongassRAW!K248</f>
        <v>0</v>
      </c>
    </row>
    <row r="648" spans="1:6" x14ac:dyDescent="0.2">
      <c r="A648" t="s">
        <v>331</v>
      </c>
      <c r="B648">
        <f>TongassRAW!B249</f>
        <v>0</v>
      </c>
      <c r="C648">
        <f>TongassRAW!C249</f>
        <v>0</v>
      </c>
      <c r="D648">
        <f>TongassRAW!D249</f>
        <v>0</v>
      </c>
      <c r="E648">
        <f>TongassRAW!J249</f>
        <v>0</v>
      </c>
      <c r="F648">
        <f>TongassRAW!K249</f>
        <v>0</v>
      </c>
    </row>
    <row r="649" spans="1:6" x14ac:dyDescent="0.2">
      <c r="A649" t="s">
        <v>331</v>
      </c>
      <c r="B649">
        <f>TongassRAW!B250</f>
        <v>0</v>
      </c>
      <c r="C649">
        <f>TongassRAW!C250</f>
        <v>0</v>
      </c>
      <c r="D649">
        <f>TongassRAW!D250</f>
        <v>0</v>
      </c>
      <c r="E649">
        <f>TongassRAW!J250</f>
        <v>0</v>
      </c>
      <c r="F649">
        <f>TongassRAW!K250</f>
        <v>0</v>
      </c>
    </row>
    <row r="650" spans="1:6" x14ac:dyDescent="0.2">
      <c r="A650" t="s">
        <v>331</v>
      </c>
      <c r="B650">
        <f>TongassRAW!B251</f>
        <v>0</v>
      </c>
      <c r="C650">
        <f>TongassRAW!C251</f>
        <v>0</v>
      </c>
      <c r="D650">
        <f>TongassRAW!D251</f>
        <v>0</v>
      </c>
      <c r="E650">
        <f>TongassRAW!J251</f>
        <v>0</v>
      </c>
      <c r="F650">
        <f>TongassRAW!K251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84E4-F3C2-4AC3-98C0-1E92E8A410C2}">
  <dimension ref="A1:K301"/>
  <sheetViews>
    <sheetView topLeftCell="A161" workbookViewId="0">
      <selection activeCell="F304" sqref="F304"/>
    </sheetView>
  </sheetViews>
  <sheetFormatPr baseColWidth="10" defaultColWidth="8.83203125" defaultRowHeight="15" x14ac:dyDescent="0.2"/>
  <cols>
    <col min="1" max="1" width="5" bestFit="1" customWidth="1"/>
    <col min="2" max="2" width="21.5" bestFit="1" customWidth="1"/>
    <col min="3" max="3" width="12.5" bestFit="1" customWidth="1"/>
    <col min="4" max="4" width="8.33203125" bestFit="1" customWidth="1"/>
    <col min="5" max="5" width="26" bestFit="1" customWidth="1"/>
    <col min="6" max="6" width="52.1640625" style="3" bestFit="1" customWidth="1"/>
    <col min="7" max="7" width="42.6640625" style="3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4</v>
      </c>
      <c r="G1" s="2" t="s">
        <v>5</v>
      </c>
    </row>
    <row r="2" spans="1:11" x14ac:dyDescent="0.2">
      <c r="A2">
        <v>2011</v>
      </c>
      <c r="B2" t="s">
        <v>7</v>
      </c>
      <c r="C2" t="s">
        <v>8</v>
      </c>
      <c r="D2" t="s">
        <v>9</v>
      </c>
      <c r="E2" t="s">
        <v>10</v>
      </c>
      <c r="F2" s="3">
        <v>0</v>
      </c>
      <c r="G2" s="3">
        <v>0</v>
      </c>
      <c r="J2">
        <f>SUM(F2:F201)/10</f>
        <v>271876.55731316668</v>
      </c>
      <c r="K2">
        <f>SUM(G2:G201)/10</f>
        <v>500940.99438333337</v>
      </c>
    </row>
    <row r="3" spans="1:11" x14ac:dyDescent="0.2">
      <c r="A3">
        <v>2012</v>
      </c>
      <c r="B3" t="s">
        <v>7</v>
      </c>
      <c r="C3" t="s">
        <v>8</v>
      </c>
      <c r="D3" t="s">
        <v>9</v>
      </c>
      <c r="E3" t="s">
        <v>11</v>
      </c>
      <c r="F3" s="3">
        <v>0</v>
      </c>
      <c r="G3" s="3">
        <v>0</v>
      </c>
    </row>
    <row r="4" spans="1:11" x14ac:dyDescent="0.2">
      <c r="A4">
        <v>2013</v>
      </c>
      <c r="B4" t="s">
        <v>7</v>
      </c>
      <c r="C4" t="s">
        <v>8</v>
      </c>
      <c r="D4" t="s">
        <v>9</v>
      </c>
      <c r="E4" t="s">
        <v>12</v>
      </c>
      <c r="F4" s="3">
        <v>0</v>
      </c>
      <c r="G4" s="3">
        <v>0</v>
      </c>
    </row>
    <row r="5" spans="1:11" x14ac:dyDescent="0.2">
      <c r="A5">
        <v>2014</v>
      </c>
      <c r="B5" t="s">
        <v>7</v>
      </c>
      <c r="C5" t="s">
        <v>8</v>
      </c>
      <c r="D5" t="s">
        <v>9</v>
      </c>
      <c r="E5" t="s">
        <v>13</v>
      </c>
      <c r="F5" s="3">
        <v>0</v>
      </c>
      <c r="G5" s="3">
        <v>0</v>
      </c>
    </row>
    <row r="6" spans="1:11" x14ac:dyDescent="0.2">
      <c r="A6">
        <v>2015</v>
      </c>
      <c r="B6" t="s">
        <v>7</v>
      </c>
      <c r="C6" t="s">
        <v>8</v>
      </c>
      <c r="D6" t="s">
        <v>9</v>
      </c>
      <c r="E6" t="s">
        <v>14</v>
      </c>
      <c r="F6" s="3">
        <v>0</v>
      </c>
      <c r="G6" s="3">
        <v>0</v>
      </c>
    </row>
    <row r="7" spans="1:11" x14ac:dyDescent="0.2">
      <c r="A7">
        <v>2016</v>
      </c>
      <c r="B7" t="s">
        <v>7</v>
      </c>
      <c r="C7" t="s">
        <v>8</v>
      </c>
      <c r="D7" t="s">
        <v>9</v>
      </c>
      <c r="E7" t="s">
        <v>15</v>
      </c>
      <c r="F7" s="3">
        <v>0</v>
      </c>
      <c r="G7" s="3">
        <v>0</v>
      </c>
    </row>
    <row r="8" spans="1:11" x14ac:dyDescent="0.2">
      <c r="A8">
        <v>2017</v>
      </c>
      <c r="B8" t="s">
        <v>7</v>
      </c>
      <c r="C8" t="s">
        <v>8</v>
      </c>
      <c r="D8" t="s">
        <v>9</v>
      </c>
      <c r="E8" t="s">
        <v>16</v>
      </c>
      <c r="F8" s="3">
        <v>0</v>
      </c>
      <c r="G8" s="3">
        <v>0</v>
      </c>
    </row>
    <row r="9" spans="1:11" x14ac:dyDescent="0.2">
      <c r="A9">
        <v>2018</v>
      </c>
      <c r="B9" t="s">
        <v>7</v>
      </c>
      <c r="C9" t="s">
        <v>8</v>
      </c>
      <c r="D9" t="s">
        <v>9</v>
      </c>
      <c r="E9" t="s">
        <v>17</v>
      </c>
      <c r="F9" s="3">
        <v>0</v>
      </c>
      <c r="G9" s="3">
        <v>0</v>
      </c>
    </row>
    <row r="10" spans="1:11" x14ac:dyDescent="0.2">
      <c r="A10">
        <v>2019</v>
      </c>
      <c r="B10" t="s">
        <v>7</v>
      </c>
      <c r="C10" t="s">
        <v>8</v>
      </c>
      <c r="D10" t="s">
        <v>9</v>
      </c>
      <c r="E10" t="s">
        <v>18</v>
      </c>
      <c r="F10" s="3">
        <v>0</v>
      </c>
      <c r="G10" s="3">
        <v>0</v>
      </c>
    </row>
    <row r="11" spans="1:11" x14ac:dyDescent="0.2">
      <c r="A11">
        <v>2020</v>
      </c>
      <c r="B11" t="s">
        <v>7</v>
      </c>
      <c r="C11" t="s">
        <v>8</v>
      </c>
      <c r="D11" t="s">
        <v>9</v>
      </c>
      <c r="E11" t="s">
        <v>19</v>
      </c>
      <c r="F11" s="3">
        <v>0</v>
      </c>
      <c r="G11" s="3">
        <v>0</v>
      </c>
    </row>
    <row r="12" spans="1:11" x14ac:dyDescent="0.2">
      <c r="A12">
        <v>2011</v>
      </c>
      <c r="B12" t="s">
        <v>7</v>
      </c>
      <c r="C12" t="s">
        <v>8</v>
      </c>
      <c r="D12" t="s">
        <v>20</v>
      </c>
      <c r="E12" t="s">
        <v>21</v>
      </c>
      <c r="F12" s="3">
        <v>362.15125333333344</v>
      </c>
      <c r="G12" s="3">
        <v>646.69866666666678</v>
      </c>
    </row>
    <row r="13" spans="1:11" x14ac:dyDescent="0.2">
      <c r="A13">
        <v>2012</v>
      </c>
      <c r="B13" t="s">
        <v>7</v>
      </c>
      <c r="C13" t="s">
        <v>8</v>
      </c>
      <c r="D13" t="s">
        <v>20</v>
      </c>
      <c r="E13" t="s">
        <v>22</v>
      </c>
      <c r="F13" s="3">
        <v>396.83485333333334</v>
      </c>
      <c r="G13" s="3">
        <v>708.63366666666661</v>
      </c>
    </row>
    <row r="14" spans="1:11" x14ac:dyDescent="0.2">
      <c r="A14">
        <v>2013</v>
      </c>
      <c r="B14" t="s">
        <v>7</v>
      </c>
      <c r="C14" t="s">
        <v>8</v>
      </c>
      <c r="D14" t="s">
        <v>20</v>
      </c>
      <c r="E14" t="s">
        <v>23</v>
      </c>
      <c r="F14" s="3">
        <v>305.00138666666675</v>
      </c>
      <c r="G14" s="3">
        <v>544.64533333333338</v>
      </c>
    </row>
    <row r="15" spans="1:11" x14ac:dyDescent="0.2">
      <c r="A15">
        <v>2014</v>
      </c>
      <c r="B15" t="s">
        <v>7</v>
      </c>
      <c r="C15" t="s">
        <v>8</v>
      </c>
      <c r="D15" t="s">
        <v>20</v>
      </c>
      <c r="E15" t="s">
        <v>24</v>
      </c>
      <c r="F15" s="3">
        <v>302.48064000000005</v>
      </c>
      <c r="G15" s="3">
        <v>540.14400000000001</v>
      </c>
    </row>
    <row r="16" spans="1:11" x14ac:dyDescent="0.2">
      <c r="A16">
        <v>2015</v>
      </c>
      <c r="B16" t="s">
        <v>7</v>
      </c>
      <c r="C16" t="s">
        <v>8</v>
      </c>
      <c r="D16" t="s">
        <v>20</v>
      </c>
      <c r="E16" t="s">
        <v>25</v>
      </c>
      <c r="F16" s="3">
        <v>149.01936000000001</v>
      </c>
      <c r="G16" s="3">
        <v>266.10599999999999</v>
      </c>
    </row>
    <row r="17" spans="1:7" x14ac:dyDescent="0.2">
      <c r="A17">
        <v>2016</v>
      </c>
      <c r="B17" t="s">
        <v>7</v>
      </c>
      <c r="C17" t="s">
        <v>8</v>
      </c>
      <c r="D17" t="s">
        <v>20</v>
      </c>
      <c r="E17" t="s">
        <v>26</v>
      </c>
      <c r="F17" s="3">
        <v>71.303680000000014</v>
      </c>
      <c r="G17" s="3">
        <v>127.328</v>
      </c>
    </row>
    <row r="18" spans="1:7" x14ac:dyDescent="0.2">
      <c r="A18">
        <v>2017</v>
      </c>
      <c r="B18" t="s">
        <v>7</v>
      </c>
      <c r="C18" t="s">
        <v>8</v>
      </c>
      <c r="D18" t="s">
        <v>20</v>
      </c>
      <c r="E18" t="s">
        <v>27</v>
      </c>
      <c r="F18" s="3">
        <v>300.08440000000002</v>
      </c>
      <c r="G18" s="3">
        <v>535.86500000000001</v>
      </c>
    </row>
    <row r="19" spans="1:7" x14ac:dyDescent="0.2">
      <c r="A19">
        <v>2018</v>
      </c>
      <c r="B19" t="s">
        <v>7</v>
      </c>
      <c r="C19" t="s">
        <v>8</v>
      </c>
      <c r="D19" t="s">
        <v>20</v>
      </c>
      <c r="E19" t="s">
        <v>28</v>
      </c>
      <c r="F19" s="3">
        <v>383.95616000000001</v>
      </c>
      <c r="G19" s="3">
        <v>685.63599999999997</v>
      </c>
    </row>
    <row r="20" spans="1:7" x14ac:dyDescent="0.2">
      <c r="A20">
        <v>2019</v>
      </c>
      <c r="B20" t="s">
        <v>7</v>
      </c>
      <c r="C20" t="s">
        <v>8</v>
      </c>
      <c r="D20" t="s">
        <v>20</v>
      </c>
      <c r="E20" t="s">
        <v>29</v>
      </c>
      <c r="F20" s="3">
        <v>691.13258666666673</v>
      </c>
      <c r="G20" s="3">
        <v>1234.1653333333334</v>
      </c>
    </row>
    <row r="21" spans="1:7" x14ac:dyDescent="0.2">
      <c r="A21">
        <v>2020</v>
      </c>
      <c r="B21" t="s">
        <v>7</v>
      </c>
      <c r="C21" t="s">
        <v>8</v>
      </c>
      <c r="D21" t="s">
        <v>20</v>
      </c>
      <c r="E21" t="s">
        <v>30</v>
      </c>
      <c r="F21" s="3">
        <v>1127.53424</v>
      </c>
      <c r="G21" s="3">
        <v>2013.4539999999997</v>
      </c>
    </row>
    <row r="22" spans="1:7" x14ac:dyDescent="0.2">
      <c r="A22">
        <v>2011</v>
      </c>
      <c r="B22" t="s">
        <v>7</v>
      </c>
      <c r="C22" t="s">
        <v>8</v>
      </c>
      <c r="D22" t="s">
        <v>31</v>
      </c>
      <c r="E22" t="s">
        <v>32</v>
      </c>
      <c r="F22" s="3">
        <v>10213.23</v>
      </c>
      <c r="G22" s="3">
        <v>16743</v>
      </c>
    </row>
    <row r="23" spans="1:7" x14ac:dyDescent="0.2">
      <c r="A23">
        <v>2012</v>
      </c>
      <c r="B23" t="s">
        <v>7</v>
      </c>
      <c r="C23" t="s">
        <v>8</v>
      </c>
      <c r="D23" t="s">
        <v>31</v>
      </c>
      <c r="E23" t="s">
        <v>33</v>
      </c>
      <c r="F23" s="3">
        <v>2653.5</v>
      </c>
      <c r="G23" s="3">
        <v>4350</v>
      </c>
    </row>
    <row r="24" spans="1:7" x14ac:dyDescent="0.2">
      <c r="A24">
        <v>2013</v>
      </c>
      <c r="B24" t="s">
        <v>7</v>
      </c>
      <c r="C24" t="s">
        <v>8</v>
      </c>
      <c r="D24" t="s">
        <v>31</v>
      </c>
      <c r="E24" t="s">
        <v>34</v>
      </c>
      <c r="F24" s="3">
        <v>8976.15</v>
      </c>
      <c r="G24" s="3">
        <v>14715</v>
      </c>
    </row>
    <row r="25" spans="1:7" x14ac:dyDescent="0.2">
      <c r="A25">
        <v>2014</v>
      </c>
      <c r="B25" t="s">
        <v>7</v>
      </c>
      <c r="C25" t="s">
        <v>8</v>
      </c>
      <c r="D25" t="s">
        <v>31</v>
      </c>
      <c r="E25" t="s">
        <v>35</v>
      </c>
      <c r="F25" s="3">
        <v>4221.2925166666664</v>
      </c>
      <c r="G25" s="3">
        <v>6920.1516666666666</v>
      </c>
    </row>
    <row r="26" spans="1:7" x14ac:dyDescent="0.2">
      <c r="A26">
        <v>2015</v>
      </c>
      <c r="B26" t="s">
        <v>7</v>
      </c>
      <c r="C26" t="s">
        <v>8</v>
      </c>
      <c r="D26" t="s">
        <v>31</v>
      </c>
      <c r="E26" t="s">
        <v>36</v>
      </c>
      <c r="F26" s="3">
        <v>11535.1</v>
      </c>
      <c r="G26" s="3">
        <v>18910</v>
      </c>
    </row>
    <row r="27" spans="1:7" x14ac:dyDescent="0.2">
      <c r="A27">
        <v>2016</v>
      </c>
      <c r="B27" t="s">
        <v>7</v>
      </c>
      <c r="C27" t="s">
        <v>8</v>
      </c>
      <c r="D27" t="s">
        <v>31</v>
      </c>
      <c r="E27" t="s">
        <v>37</v>
      </c>
      <c r="F27" s="3">
        <v>1633.58</v>
      </c>
      <c r="G27" s="3">
        <v>2678</v>
      </c>
    </row>
    <row r="28" spans="1:7" x14ac:dyDescent="0.2">
      <c r="A28">
        <v>2017</v>
      </c>
      <c r="B28" t="s">
        <v>7</v>
      </c>
      <c r="C28" t="s">
        <v>8</v>
      </c>
      <c r="D28" t="s">
        <v>31</v>
      </c>
      <c r="E28" t="s">
        <v>38</v>
      </c>
      <c r="F28" s="3">
        <v>6900.93</v>
      </c>
      <c r="G28" s="3">
        <v>11313</v>
      </c>
    </row>
    <row r="29" spans="1:7" x14ac:dyDescent="0.2">
      <c r="A29">
        <v>2018</v>
      </c>
      <c r="B29" t="s">
        <v>7</v>
      </c>
      <c r="C29" t="s">
        <v>8</v>
      </c>
      <c r="D29" t="s">
        <v>31</v>
      </c>
      <c r="E29" t="s">
        <v>39</v>
      </c>
      <c r="F29" s="3">
        <v>5051.41</v>
      </c>
      <c r="G29" s="3">
        <v>8281</v>
      </c>
    </row>
    <row r="30" spans="1:7" x14ac:dyDescent="0.2">
      <c r="A30">
        <v>2019</v>
      </c>
      <c r="B30" t="s">
        <v>7</v>
      </c>
      <c r="C30" t="s">
        <v>8</v>
      </c>
      <c r="D30" t="s">
        <v>31</v>
      </c>
      <c r="E30" t="s">
        <v>40</v>
      </c>
      <c r="F30" s="3">
        <v>7135.4275216666656</v>
      </c>
      <c r="G30" s="3">
        <v>11697.422166666665</v>
      </c>
    </row>
    <row r="31" spans="1:7" x14ac:dyDescent="0.2">
      <c r="A31">
        <v>2020</v>
      </c>
      <c r="B31" t="s">
        <v>7</v>
      </c>
      <c r="C31" t="s">
        <v>8</v>
      </c>
      <c r="D31" t="s">
        <v>31</v>
      </c>
      <c r="E31" t="s">
        <v>41</v>
      </c>
      <c r="F31" s="3">
        <v>4054.9811</v>
      </c>
      <c r="G31" s="3">
        <v>6647.51</v>
      </c>
    </row>
    <row r="32" spans="1:7" x14ac:dyDescent="0.2">
      <c r="A32">
        <v>2011</v>
      </c>
      <c r="B32" t="s">
        <v>7</v>
      </c>
      <c r="C32" t="s">
        <v>8</v>
      </c>
      <c r="D32" t="s">
        <v>42</v>
      </c>
      <c r="E32" t="s">
        <v>43</v>
      </c>
      <c r="F32" s="3">
        <v>787.95360000000005</v>
      </c>
      <c r="G32" s="3">
        <v>875.50400000000002</v>
      </c>
    </row>
    <row r="33" spans="1:7" x14ac:dyDescent="0.2">
      <c r="A33">
        <v>2012</v>
      </c>
      <c r="B33" t="s">
        <v>7</v>
      </c>
      <c r="C33" t="s">
        <v>8</v>
      </c>
      <c r="D33" t="s">
        <v>42</v>
      </c>
      <c r="E33" t="s">
        <v>44</v>
      </c>
      <c r="F33" s="3">
        <v>817.54244999999992</v>
      </c>
      <c r="G33" s="3">
        <v>908.38049999999987</v>
      </c>
    </row>
    <row r="34" spans="1:7" x14ac:dyDescent="0.2">
      <c r="A34">
        <v>2013</v>
      </c>
      <c r="B34" t="s">
        <v>7</v>
      </c>
      <c r="C34" t="s">
        <v>8</v>
      </c>
      <c r="D34" t="s">
        <v>42</v>
      </c>
      <c r="E34" t="s">
        <v>45</v>
      </c>
      <c r="F34" s="3">
        <v>839.15130000000022</v>
      </c>
      <c r="G34" s="3">
        <v>932.3903333333335</v>
      </c>
    </row>
    <row r="35" spans="1:7" x14ac:dyDescent="0.2">
      <c r="A35">
        <v>2014</v>
      </c>
      <c r="B35" t="s">
        <v>7</v>
      </c>
      <c r="C35" t="s">
        <v>8</v>
      </c>
      <c r="D35" t="s">
        <v>42</v>
      </c>
      <c r="E35" t="s">
        <v>46</v>
      </c>
      <c r="F35" s="3">
        <v>591.79110000000003</v>
      </c>
      <c r="G35" s="3">
        <v>657.54566666666665</v>
      </c>
    </row>
    <row r="36" spans="1:7" x14ac:dyDescent="0.2">
      <c r="A36">
        <v>2015</v>
      </c>
      <c r="B36" t="s">
        <v>7</v>
      </c>
      <c r="C36" t="s">
        <v>8</v>
      </c>
      <c r="D36" t="s">
        <v>42</v>
      </c>
      <c r="E36" t="s">
        <v>47</v>
      </c>
      <c r="F36" s="3">
        <v>2049.4737</v>
      </c>
      <c r="G36" s="3">
        <v>2277.1929999999998</v>
      </c>
    </row>
    <row r="37" spans="1:7" x14ac:dyDescent="0.2">
      <c r="A37">
        <v>2016</v>
      </c>
      <c r="B37" t="s">
        <v>7</v>
      </c>
      <c r="C37" t="s">
        <v>8</v>
      </c>
      <c r="D37" t="s">
        <v>42</v>
      </c>
      <c r="E37" t="s">
        <v>48</v>
      </c>
      <c r="F37" s="3">
        <v>1018.0309500000001</v>
      </c>
      <c r="G37" s="3">
        <v>1131.1455000000001</v>
      </c>
    </row>
    <row r="38" spans="1:7" x14ac:dyDescent="0.2">
      <c r="A38">
        <v>2017</v>
      </c>
      <c r="B38" t="s">
        <v>7</v>
      </c>
      <c r="C38" t="s">
        <v>8</v>
      </c>
      <c r="D38" t="s">
        <v>42</v>
      </c>
      <c r="E38" t="s">
        <v>49</v>
      </c>
      <c r="F38" s="3">
        <v>1077.537</v>
      </c>
      <c r="G38" s="3">
        <v>1197.2633333333333</v>
      </c>
    </row>
    <row r="39" spans="1:7" x14ac:dyDescent="0.2">
      <c r="A39">
        <v>2018</v>
      </c>
      <c r="B39" t="s">
        <v>7</v>
      </c>
      <c r="C39" t="s">
        <v>8</v>
      </c>
      <c r="D39" t="s">
        <v>42</v>
      </c>
      <c r="E39" t="s">
        <v>50</v>
      </c>
      <c r="F39" s="3">
        <v>1097.568</v>
      </c>
      <c r="G39" s="3">
        <v>1219.52</v>
      </c>
    </row>
    <row r="40" spans="1:7" x14ac:dyDescent="0.2">
      <c r="A40">
        <v>2019</v>
      </c>
      <c r="B40" t="s">
        <v>7</v>
      </c>
      <c r="C40" t="s">
        <v>8</v>
      </c>
      <c r="D40" t="s">
        <v>42</v>
      </c>
      <c r="E40" t="s">
        <v>51</v>
      </c>
      <c r="F40" s="3">
        <v>1740.4877999999999</v>
      </c>
      <c r="G40" s="3">
        <v>1933.8753333333332</v>
      </c>
    </row>
    <row r="41" spans="1:7" x14ac:dyDescent="0.2">
      <c r="A41">
        <v>2020</v>
      </c>
      <c r="B41" t="s">
        <v>7</v>
      </c>
      <c r="C41" t="s">
        <v>8</v>
      </c>
      <c r="D41" t="s">
        <v>42</v>
      </c>
      <c r="E41" t="s">
        <v>52</v>
      </c>
      <c r="F41" s="3">
        <v>905.35019999999986</v>
      </c>
      <c r="G41" s="3">
        <v>1005.9446666666665</v>
      </c>
    </row>
    <row r="42" spans="1:7" x14ac:dyDescent="0.2">
      <c r="A42">
        <v>2011</v>
      </c>
      <c r="B42" t="s">
        <v>7</v>
      </c>
      <c r="C42" t="s">
        <v>8</v>
      </c>
      <c r="D42" t="s">
        <v>53</v>
      </c>
      <c r="E42" t="s">
        <v>54</v>
      </c>
      <c r="F42" s="3">
        <v>61.73813333333333</v>
      </c>
      <c r="G42" s="3">
        <v>77.172666666666657</v>
      </c>
    </row>
    <row r="43" spans="1:7" x14ac:dyDescent="0.2">
      <c r="A43">
        <v>2012</v>
      </c>
      <c r="B43" t="s">
        <v>7</v>
      </c>
      <c r="C43" t="s">
        <v>8</v>
      </c>
      <c r="D43" t="s">
        <v>53</v>
      </c>
      <c r="E43" t="s">
        <v>55</v>
      </c>
      <c r="F43" s="3">
        <v>5.7280000000000006</v>
      </c>
      <c r="G43" s="3">
        <v>7.16</v>
      </c>
    </row>
    <row r="44" spans="1:7" x14ac:dyDescent="0.2">
      <c r="A44">
        <v>2013</v>
      </c>
      <c r="B44" t="s">
        <v>7</v>
      </c>
      <c r="C44" t="s">
        <v>8</v>
      </c>
      <c r="D44" t="s">
        <v>53</v>
      </c>
      <c r="E44" t="s">
        <v>56</v>
      </c>
      <c r="F44" s="3">
        <v>162.26666666666668</v>
      </c>
      <c r="G44" s="3">
        <v>202.83333333333334</v>
      </c>
    </row>
    <row r="45" spans="1:7" x14ac:dyDescent="0.2">
      <c r="A45">
        <v>2014</v>
      </c>
      <c r="B45" t="s">
        <v>7</v>
      </c>
      <c r="C45" t="s">
        <v>8</v>
      </c>
      <c r="D45" t="s">
        <v>53</v>
      </c>
      <c r="E45" t="s">
        <v>57</v>
      </c>
      <c r="F45" s="3">
        <v>85.983999999999995</v>
      </c>
      <c r="G45" s="3">
        <v>107.47999999999999</v>
      </c>
    </row>
    <row r="46" spans="1:7" x14ac:dyDescent="0.2">
      <c r="A46">
        <v>2015</v>
      </c>
      <c r="B46" t="s">
        <v>7</v>
      </c>
      <c r="C46" t="s">
        <v>8</v>
      </c>
      <c r="D46" t="s">
        <v>53</v>
      </c>
      <c r="E46" t="s">
        <v>58</v>
      </c>
      <c r="F46" s="3">
        <v>144.92613333333335</v>
      </c>
      <c r="G46" s="3">
        <v>181.15766666666667</v>
      </c>
    </row>
    <row r="47" spans="1:7" x14ac:dyDescent="0.2">
      <c r="A47">
        <v>2016</v>
      </c>
      <c r="B47" t="s">
        <v>7</v>
      </c>
      <c r="C47" t="s">
        <v>8</v>
      </c>
      <c r="D47" t="s">
        <v>53</v>
      </c>
      <c r="E47" t="s">
        <v>59</v>
      </c>
      <c r="F47" s="3">
        <v>5.8184000000000005</v>
      </c>
      <c r="G47" s="3">
        <v>7.2729999999999997</v>
      </c>
    </row>
    <row r="48" spans="1:7" x14ac:dyDescent="0.2">
      <c r="A48">
        <v>2017</v>
      </c>
      <c r="B48" t="s">
        <v>7</v>
      </c>
      <c r="C48" t="s">
        <v>8</v>
      </c>
      <c r="D48" t="s">
        <v>53</v>
      </c>
      <c r="E48" t="s">
        <v>60</v>
      </c>
      <c r="F48" s="3">
        <v>188.51413333333335</v>
      </c>
      <c r="G48" s="3">
        <v>235.64266666666666</v>
      </c>
    </row>
    <row r="49" spans="1:7" x14ac:dyDescent="0.2">
      <c r="A49">
        <v>2018</v>
      </c>
      <c r="B49" t="s">
        <v>7</v>
      </c>
      <c r="C49" t="s">
        <v>8</v>
      </c>
      <c r="D49" t="s">
        <v>53</v>
      </c>
      <c r="E49" t="s">
        <v>61</v>
      </c>
      <c r="F49" s="3">
        <v>184.35306666666668</v>
      </c>
      <c r="G49" s="3">
        <v>230.44133333333332</v>
      </c>
    </row>
    <row r="50" spans="1:7" x14ac:dyDescent="0.2">
      <c r="A50">
        <v>2019</v>
      </c>
      <c r="B50" t="s">
        <v>7</v>
      </c>
      <c r="C50" t="s">
        <v>8</v>
      </c>
      <c r="D50" t="s">
        <v>53</v>
      </c>
      <c r="E50" t="s">
        <v>62</v>
      </c>
      <c r="F50" s="3">
        <v>229.63919999999999</v>
      </c>
      <c r="G50" s="3">
        <v>287.04899999999998</v>
      </c>
    </row>
    <row r="51" spans="1:7" x14ac:dyDescent="0.2">
      <c r="A51">
        <v>2020</v>
      </c>
      <c r="B51" t="s">
        <v>7</v>
      </c>
      <c r="C51" t="s">
        <v>8</v>
      </c>
      <c r="D51" t="s">
        <v>53</v>
      </c>
      <c r="E51" t="s">
        <v>63</v>
      </c>
      <c r="F51" s="3">
        <v>72.9696</v>
      </c>
      <c r="G51" s="3">
        <v>91.212000000000003</v>
      </c>
    </row>
    <row r="52" spans="1:7" x14ac:dyDescent="0.2">
      <c r="A52">
        <v>2011</v>
      </c>
      <c r="B52" t="s">
        <v>64</v>
      </c>
      <c r="C52" t="s">
        <v>8</v>
      </c>
      <c r="D52" t="s">
        <v>20</v>
      </c>
      <c r="E52" t="s">
        <v>21</v>
      </c>
      <c r="F52" s="3">
        <v>1005</v>
      </c>
      <c r="G52" s="3">
        <v>1005</v>
      </c>
    </row>
    <row r="53" spans="1:7" x14ac:dyDescent="0.2">
      <c r="A53">
        <v>2012</v>
      </c>
      <c r="B53" t="s">
        <v>64</v>
      </c>
      <c r="C53" t="s">
        <v>8</v>
      </c>
      <c r="D53" t="s">
        <v>20</v>
      </c>
      <c r="E53" t="s">
        <v>22</v>
      </c>
      <c r="F53" s="3">
        <v>764</v>
      </c>
      <c r="G53" s="3">
        <v>764</v>
      </c>
    </row>
    <row r="54" spans="1:7" x14ac:dyDescent="0.2">
      <c r="A54">
        <v>2013</v>
      </c>
      <c r="B54" t="s">
        <v>64</v>
      </c>
      <c r="C54" t="s">
        <v>8</v>
      </c>
      <c r="D54" t="s">
        <v>20</v>
      </c>
      <c r="E54" t="s">
        <v>23</v>
      </c>
      <c r="F54" s="3">
        <v>343</v>
      </c>
      <c r="G54" s="3">
        <v>343</v>
      </c>
    </row>
    <row r="55" spans="1:7" x14ac:dyDescent="0.2">
      <c r="A55">
        <v>2014</v>
      </c>
      <c r="B55" t="s">
        <v>64</v>
      </c>
      <c r="C55" t="s">
        <v>8</v>
      </c>
      <c r="D55" t="s">
        <v>20</v>
      </c>
      <c r="E55" t="s">
        <v>24</v>
      </c>
      <c r="F55" s="3">
        <v>87</v>
      </c>
      <c r="G55" s="3">
        <v>87</v>
      </c>
    </row>
    <row r="56" spans="1:7" x14ac:dyDescent="0.2">
      <c r="A56">
        <v>2015</v>
      </c>
      <c r="B56" t="s">
        <v>64</v>
      </c>
      <c r="C56" t="s">
        <v>8</v>
      </c>
      <c r="D56" t="s">
        <v>20</v>
      </c>
      <c r="E56" t="s">
        <v>25</v>
      </c>
      <c r="F56" s="3">
        <v>155</v>
      </c>
      <c r="G56" s="3">
        <v>155</v>
      </c>
    </row>
    <row r="57" spans="1:7" x14ac:dyDescent="0.2">
      <c r="A57">
        <v>2016</v>
      </c>
      <c r="B57" t="s">
        <v>64</v>
      </c>
      <c r="C57" t="s">
        <v>8</v>
      </c>
      <c r="D57" t="s">
        <v>20</v>
      </c>
      <c r="E57" t="s">
        <v>26</v>
      </c>
      <c r="F57" s="3">
        <v>246</v>
      </c>
      <c r="G57" s="3">
        <v>246</v>
      </c>
    </row>
    <row r="58" spans="1:7" x14ac:dyDescent="0.2">
      <c r="A58">
        <v>2017</v>
      </c>
      <c r="B58" t="s">
        <v>64</v>
      </c>
      <c r="C58" t="s">
        <v>8</v>
      </c>
      <c r="D58" t="s">
        <v>20</v>
      </c>
      <c r="E58" t="s">
        <v>27</v>
      </c>
      <c r="F58" s="3">
        <v>134</v>
      </c>
      <c r="G58" s="3">
        <v>134</v>
      </c>
    </row>
    <row r="59" spans="1:7" x14ac:dyDescent="0.2">
      <c r="A59">
        <v>2018</v>
      </c>
      <c r="B59" t="s">
        <v>64</v>
      </c>
      <c r="C59" t="s">
        <v>8</v>
      </c>
      <c r="D59" t="s">
        <v>20</v>
      </c>
      <c r="E59" t="s">
        <v>28</v>
      </c>
      <c r="F59" s="3">
        <v>22</v>
      </c>
      <c r="G59" s="3">
        <v>22</v>
      </c>
    </row>
    <row r="60" spans="1:7" x14ac:dyDescent="0.2">
      <c r="A60">
        <v>2019</v>
      </c>
      <c r="B60" t="s">
        <v>64</v>
      </c>
      <c r="C60" t="s">
        <v>8</v>
      </c>
      <c r="D60" t="s">
        <v>20</v>
      </c>
      <c r="E60" t="s">
        <v>29</v>
      </c>
      <c r="F60" s="3">
        <v>518</v>
      </c>
      <c r="G60" s="3">
        <v>518</v>
      </c>
    </row>
    <row r="61" spans="1:7" x14ac:dyDescent="0.2">
      <c r="A61">
        <v>2020</v>
      </c>
      <c r="B61" t="s">
        <v>64</v>
      </c>
      <c r="C61" t="s">
        <v>8</v>
      </c>
      <c r="D61" t="s">
        <v>20</v>
      </c>
      <c r="E61" t="s">
        <v>30</v>
      </c>
      <c r="F61" s="3">
        <v>282</v>
      </c>
      <c r="G61" s="3">
        <v>282</v>
      </c>
    </row>
    <row r="62" spans="1:7" x14ac:dyDescent="0.2">
      <c r="A62">
        <v>2011</v>
      </c>
      <c r="B62" t="s">
        <v>64</v>
      </c>
      <c r="C62" t="s">
        <v>8</v>
      </c>
      <c r="D62" t="s">
        <v>31</v>
      </c>
      <c r="E62" t="s">
        <v>32</v>
      </c>
      <c r="F62" s="3">
        <v>21240</v>
      </c>
      <c r="G62" s="3">
        <v>21240</v>
      </c>
    </row>
    <row r="63" spans="1:7" x14ac:dyDescent="0.2">
      <c r="A63">
        <v>2012</v>
      </c>
      <c r="B63" t="s">
        <v>64</v>
      </c>
      <c r="C63" t="s">
        <v>8</v>
      </c>
      <c r="D63" t="s">
        <v>31</v>
      </c>
      <c r="E63" t="s">
        <v>33</v>
      </c>
      <c r="F63" s="3">
        <v>22493</v>
      </c>
      <c r="G63" s="3">
        <v>22493</v>
      </c>
    </row>
    <row r="64" spans="1:7" x14ac:dyDescent="0.2">
      <c r="A64">
        <v>2013</v>
      </c>
      <c r="B64" t="s">
        <v>64</v>
      </c>
      <c r="C64" t="s">
        <v>8</v>
      </c>
      <c r="D64" t="s">
        <v>31</v>
      </c>
      <c r="E64" t="s">
        <v>34</v>
      </c>
      <c r="F64" s="3">
        <v>23953</v>
      </c>
      <c r="G64" s="3">
        <v>23953</v>
      </c>
    </row>
    <row r="65" spans="1:7" x14ac:dyDescent="0.2">
      <c r="A65">
        <v>2014</v>
      </c>
      <c r="B65" t="s">
        <v>64</v>
      </c>
      <c r="C65" t="s">
        <v>8</v>
      </c>
      <c r="D65" t="s">
        <v>31</v>
      </c>
      <c r="E65" t="s">
        <v>35</v>
      </c>
      <c r="F65" s="3">
        <v>22133</v>
      </c>
      <c r="G65" s="3">
        <v>22133</v>
      </c>
    </row>
    <row r="66" spans="1:7" x14ac:dyDescent="0.2">
      <c r="A66">
        <v>2015</v>
      </c>
      <c r="B66" t="s">
        <v>64</v>
      </c>
      <c r="C66" t="s">
        <v>8</v>
      </c>
      <c r="D66" t="s">
        <v>31</v>
      </c>
      <c r="E66" t="s">
        <v>36</v>
      </c>
      <c r="F66" s="3">
        <v>34830</v>
      </c>
      <c r="G66" s="3">
        <v>34830</v>
      </c>
    </row>
    <row r="67" spans="1:7" x14ac:dyDescent="0.2">
      <c r="A67">
        <v>2016</v>
      </c>
      <c r="B67" t="s">
        <v>64</v>
      </c>
      <c r="C67" t="s">
        <v>8</v>
      </c>
      <c r="D67" t="s">
        <v>31</v>
      </c>
      <c r="E67" t="s">
        <v>37</v>
      </c>
      <c r="F67" s="3">
        <v>18558</v>
      </c>
      <c r="G67" s="3">
        <v>18558</v>
      </c>
    </row>
    <row r="68" spans="1:7" x14ac:dyDescent="0.2">
      <c r="A68">
        <v>2017</v>
      </c>
      <c r="B68" t="s">
        <v>64</v>
      </c>
      <c r="C68" t="s">
        <v>8</v>
      </c>
      <c r="D68" t="s">
        <v>31</v>
      </c>
      <c r="E68" t="s">
        <v>38</v>
      </c>
      <c r="F68" s="3">
        <v>15143</v>
      </c>
      <c r="G68" s="3">
        <v>15143</v>
      </c>
    </row>
    <row r="69" spans="1:7" x14ac:dyDescent="0.2">
      <c r="A69">
        <v>2018</v>
      </c>
      <c r="B69" t="s">
        <v>64</v>
      </c>
      <c r="C69" t="s">
        <v>8</v>
      </c>
      <c r="D69" t="s">
        <v>31</v>
      </c>
      <c r="E69" t="s">
        <v>39</v>
      </c>
      <c r="F69" s="3">
        <v>12743</v>
      </c>
      <c r="G69" s="3">
        <v>12743</v>
      </c>
    </row>
    <row r="70" spans="1:7" x14ac:dyDescent="0.2">
      <c r="A70">
        <v>2019</v>
      </c>
      <c r="B70" t="s">
        <v>64</v>
      </c>
      <c r="C70" t="s">
        <v>8</v>
      </c>
      <c r="D70" t="s">
        <v>31</v>
      </c>
      <c r="E70" t="s">
        <v>40</v>
      </c>
      <c r="F70" s="3">
        <v>16800</v>
      </c>
      <c r="G70" s="3">
        <v>16800</v>
      </c>
    </row>
    <row r="71" spans="1:7" x14ac:dyDescent="0.2">
      <c r="A71">
        <v>2020</v>
      </c>
      <c r="B71" t="s">
        <v>64</v>
      </c>
      <c r="C71" t="s">
        <v>8</v>
      </c>
      <c r="D71" t="s">
        <v>31</v>
      </c>
      <c r="E71" t="s">
        <v>41</v>
      </c>
      <c r="F71" s="3">
        <v>10669</v>
      </c>
      <c r="G71" s="3">
        <v>10669</v>
      </c>
    </row>
    <row r="72" spans="1:7" x14ac:dyDescent="0.2">
      <c r="A72">
        <v>2011</v>
      </c>
      <c r="B72" t="s">
        <v>64</v>
      </c>
      <c r="C72" t="s">
        <v>8</v>
      </c>
      <c r="D72" t="s">
        <v>42</v>
      </c>
      <c r="E72" t="s">
        <v>43</v>
      </c>
      <c r="F72" s="3">
        <v>200</v>
      </c>
      <c r="G72" s="3">
        <v>200</v>
      </c>
    </row>
    <row r="73" spans="1:7" x14ac:dyDescent="0.2">
      <c r="A73">
        <v>2012</v>
      </c>
      <c r="B73" t="s">
        <v>64</v>
      </c>
      <c r="C73" t="s">
        <v>8</v>
      </c>
      <c r="D73" t="s">
        <v>42</v>
      </c>
      <c r="E73" t="s">
        <v>44</v>
      </c>
      <c r="F73" s="3">
        <v>0</v>
      </c>
      <c r="G73" s="3">
        <v>0</v>
      </c>
    </row>
    <row r="74" spans="1:7" x14ac:dyDescent="0.2">
      <c r="A74">
        <v>2013</v>
      </c>
      <c r="B74" t="s">
        <v>64</v>
      </c>
      <c r="C74" t="s">
        <v>8</v>
      </c>
      <c r="D74" t="s">
        <v>42</v>
      </c>
      <c r="E74" t="s">
        <v>45</v>
      </c>
      <c r="F74" s="3">
        <v>32</v>
      </c>
      <c r="G74" s="3">
        <v>32</v>
      </c>
    </row>
    <row r="75" spans="1:7" x14ac:dyDescent="0.2">
      <c r="A75">
        <v>2014</v>
      </c>
      <c r="B75" t="s">
        <v>64</v>
      </c>
      <c r="C75" t="s">
        <v>8</v>
      </c>
      <c r="D75" t="s">
        <v>42</v>
      </c>
      <c r="E75" t="s">
        <v>46</v>
      </c>
      <c r="F75" s="3">
        <v>12</v>
      </c>
      <c r="G75" s="3">
        <v>12</v>
      </c>
    </row>
    <row r="76" spans="1:7" x14ac:dyDescent="0.2">
      <c r="A76">
        <v>2015</v>
      </c>
      <c r="B76" t="s">
        <v>64</v>
      </c>
      <c r="C76" t="s">
        <v>8</v>
      </c>
      <c r="D76" t="s">
        <v>42</v>
      </c>
      <c r="E76" t="s">
        <v>47</v>
      </c>
      <c r="F76" s="3">
        <v>1773</v>
      </c>
      <c r="G76" s="3">
        <v>1773</v>
      </c>
    </row>
    <row r="77" spans="1:7" x14ac:dyDescent="0.2">
      <c r="A77">
        <v>2016</v>
      </c>
      <c r="B77" t="s">
        <v>64</v>
      </c>
      <c r="C77" t="s">
        <v>8</v>
      </c>
      <c r="D77" t="s">
        <v>42</v>
      </c>
      <c r="E77" t="s">
        <v>48</v>
      </c>
      <c r="F77" s="3">
        <v>0</v>
      </c>
      <c r="G77" s="3">
        <v>0</v>
      </c>
    </row>
    <row r="78" spans="1:7" x14ac:dyDescent="0.2">
      <c r="A78">
        <v>2017</v>
      </c>
      <c r="B78" t="s">
        <v>64</v>
      </c>
      <c r="C78" t="s">
        <v>8</v>
      </c>
      <c r="D78" t="s">
        <v>42</v>
      </c>
      <c r="E78" t="s">
        <v>49</v>
      </c>
      <c r="F78" s="3">
        <v>227</v>
      </c>
      <c r="G78" s="3">
        <v>227</v>
      </c>
    </row>
    <row r="79" spans="1:7" x14ac:dyDescent="0.2">
      <c r="A79">
        <v>2018</v>
      </c>
      <c r="B79" t="s">
        <v>64</v>
      </c>
      <c r="C79" t="s">
        <v>8</v>
      </c>
      <c r="D79" t="s">
        <v>42</v>
      </c>
      <c r="E79" t="s">
        <v>50</v>
      </c>
      <c r="F79" s="3">
        <v>0</v>
      </c>
      <c r="G79" s="3">
        <v>0</v>
      </c>
    </row>
    <row r="80" spans="1:7" x14ac:dyDescent="0.2">
      <c r="A80">
        <v>2019</v>
      </c>
      <c r="B80" t="s">
        <v>64</v>
      </c>
      <c r="C80" t="s">
        <v>8</v>
      </c>
      <c r="D80" t="s">
        <v>42</v>
      </c>
      <c r="E80" t="s">
        <v>51</v>
      </c>
      <c r="F80" s="3">
        <v>153</v>
      </c>
      <c r="G80" s="3">
        <v>153</v>
      </c>
    </row>
    <row r="81" spans="1:7" x14ac:dyDescent="0.2">
      <c r="A81">
        <v>2020</v>
      </c>
      <c r="B81" t="s">
        <v>64</v>
      </c>
      <c r="C81" t="s">
        <v>8</v>
      </c>
      <c r="D81" t="s">
        <v>42</v>
      </c>
      <c r="E81" t="s">
        <v>52</v>
      </c>
      <c r="F81" s="3">
        <v>105</v>
      </c>
      <c r="G81" s="3">
        <v>105</v>
      </c>
    </row>
    <row r="82" spans="1:7" x14ac:dyDescent="0.2">
      <c r="A82">
        <v>2011</v>
      </c>
      <c r="B82" t="s">
        <v>64</v>
      </c>
      <c r="C82" t="s">
        <v>8</v>
      </c>
      <c r="D82" t="s">
        <v>53</v>
      </c>
      <c r="E82" t="s">
        <v>54</v>
      </c>
      <c r="F82" s="3">
        <v>0</v>
      </c>
      <c r="G82" s="3">
        <v>0</v>
      </c>
    </row>
    <row r="83" spans="1:7" x14ac:dyDescent="0.2">
      <c r="A83">
        <v>2012</v>
      </c>
      <c r="B83" t="s">
        <v>64</v>
      </c>
      <c r="C83" t="s">
        <v>8</v>
      </c>
      <c r="D83" t="s">
        <v>53</v>
      </c>
      <c r="E83" t="s">
        <v>55</v>
      </c>
      <c r="F83" s="3">
        <v>0</v>
      </c>
      <c r="G83" s="3">
        <v>0</v>
      </c>
    </row>
    <row r="84" spans="1:7" x14ac:dyDescent="0.2">
      <c r="A84">
        <v>2013</v>
      </c>
      <c r="B84" t="s">
        <v>64</v>
      </c>
      <c r="C84" t="s">
        <v>8</v>
      </c>
      <c r="D84" t="s">
        <v>53</v>
      </c>
      <c r="E84" t="s">
        <v>56</v>
      </c>
      <c r="F84" s="3">
        <v>0</v>
      </c>
      <c r="G84" s="3">
        <v>0</v>
      </c>
    </row>
    <row r="85" spans="1:7" x14ac:dyDescent="0.2">
      <c r="A85">
        <v>2014</v>
      </c>
      <c r="B85" t="s">
        <v>64</v>
      </c>
      <c r="C85" t="s">
        <v>8</v>
      </c>
      <c r="D85" t="s">
        <v>53</v>
      </c>
      <c r="E85" t="s">
        <v>57</v>
      </c>
      <c r="F85" s="3">
        <v>0</v>
      </c>
      <c r="G85" s="3">
        <v>0</v>
      </c>
    </row>
    <row r="86" spans="1:7" x14ac:dyDescent="0.2">
      <c r="A86">
        <v>2015</v>
      </c>
      <c r="B86" t="s">
        <v>64</v>
      </c>
      <c r="C86" t="s">
        <v>8</v>
      </c>
      <c r="D86" t="s">
        <v>53</v>
      </c>
      <c r="E86" t="s">
        <v>58</v>
      </c>
      <c r="F86" s="3">
        <v>0</v>
      </c>
      <c r="G86" s="3">
        <v>0</v>
      </c>
    </row>
    <row r="87" spans="1:7" x14ac:dyDescent="0.2">
      <c r="A87">
        <v>2016</v>
      </c>
      <c r="B87" t="s">
        <v>64</v>
      </c>
      <c r="C87" t="s">
        <v>8</v>
      </c>
      <c r="D87" t="s">
        <v>53</v>
      </c>
      <c r="E87" t="s">
        <v>59</v>
      </c>
      <c r="F87" s="3">
        <v>0</v>
      </c>
      <c r="G87" s="3">
        <v>0</v>
      </c>
    </row>
    <row r="88" spans="1:7" x14ac:dyDescent="0.2">
      <c r="A88">
        <v>2017</v>
      </c>
      <c r="B88" t="s">
        <v>64</v>
      </c>
      <c r="C88" t="s">
        <v>8</v>
      </c>
      <c r="D88" t="s">
        <v>53</v>
      </c>
      <c r="E88" t="s">
        <v>60</v>
      </c>
      <c r="F88" s="3">
        <v>0</v>
      </c>
      <c r="G88" s="3">
        <v>0</v>
      </c>
    </row>
    <row r="89" spans="1:7" x14ac:dyDescent="0.2">
      <c r="A89">
        <v>2018</v>
      </c>
      <c r="B89" t="s">
        <v>64</v>
      </c>
      <c r="C89" t="s">
        <v>8</v>
      </c>
      <c r="D89" t="s">
        <v>53</v>
      </c>
      <c r="E89" t="s">
        <v>61</v>
      </c>
      <c r="F89" s="3">
        <v>0</v>
      </c>
      <c r="G89" s="3">
        <v>0</v>
      </c>
    </row>
    <row r="90" spans="1:7" x14ac:dyDescent="0.2">
      <c r="A90">
        <v>2019</v>
      </c>
      <c r="B90" t="s">
        <v>64</v>
      </c>
      <c r="C90" t="s">
        <v>8</v>
      </c>
      <c r="D90" t="s">
        <v>53</v>
      </c>
      <c r="E90" t="s">
        <v>62</v>
      </c>
      <c r="F90" s="3">
        <v>0</v>
      </c>
      <c r="G90" s="3">
        <v>0</v>
      </c>
    </row>
    <row r="91" spans="1:7" x14ac:dyDescent="0.2">
      <c r="A91">
        <v>2020</v>
      </c>
      <c r="B91" t="s">
        <v>64</v>
      </c>
      <c r="C91" t="s">
        <v>8</v>
      </c>
      <c r="D91" t="s">
        <v>53</v>
      </c>
      <c r="E91" t="s">
        <v>63</v>
      </c>
      <c r="F91" s="3">
        <v>0</v>
      </c>
      <c r="G91" s="3">
        <v>0</v>
      </c>
    </row>
    <row r="92" spans="1:7" x14ac:dyDescent="0.2">
      <c r="A92">
        <v>2011</v>
      </c>
      <c r="B92" t="s">
        <v>64</v>
      </c>
      <c r="C92" t="s">
        <v>8</v>
      </c>
      <c r="D92" t="s">
        <v>9</v>
      </c>
      <c r="E92" t="s">
        <v>10</v>
      </c>
      <c r="F92" s="3">
        <v>0</v>
      </c>
      <c r="G92" s="3">
        <v>0</v>
      </c>
    </row>
    <row r="93" spans="1:7" x14ac:dyDescent="0.2">
      <c r="A93">
        <v>2012</v>
      </c>
      <c r="B93" t="s">
        <v>64</v>
      </c>
      <c r="C93" t="s">
        <v>8</v>
      </c>
      <c r="D93" t="s">
        <v>9</v>
      </c>
      <c r="E93" t="s">
        <v>11</v>
      </c>
      <c r="F93" s="3">
        <v>0</v>
      </c>
      <c r="G93" s="3">
        <v>0</v>
      </c>
    </row>
    <row r="94" spans="1:7" x14ac:dyDescent="0.2">
      <c r="A94">
        <v>2013</v>
      </c>
      <c r="B94" t="s">
        <v>64</v>
      </c>
      <c r="C94" t="s">
        <v>8</v>
      </c>
      <c r="D94" t="s">
        <v>9</v>
      </c>
      <c r="E94" t="s">
        <v>12</v>
      </c>
      <c r="F94" s="3">
        <v>0</v>
      </c>
      <c r="G94" s="3">
        <v>0</v>
      </c>
    </row>
    <row r="95" spans="1:7" x14ac:dyDescent="0.2">
      <c r="A95">
        <v>2014</v>
      </c>
      <c r="B95" t="s">
        <v>64</v>
      </c>
      <c r="C95" t="s">
        <v>8</v>
      </c>
      <c r="D95" t="s">
        <v>9</v>
      </c>
      <c r="E95" t="s">
        <v>13</v>
      </c>
      <c r="F95" s="3">
        <v>0</v>
      </c>
      <c r="G95" s="3">
        <v>0</v>
      </c>
    </row>
    <row r="96" spans="1:7" x14ac:dyDescent="0.2">
      <c r="A96">
        <v>2015</v>
      </c>
      <c r="B96" t="s">
        <v>64</v>
      </c>
      <c r="C96" t="s">
        <v>8</v>
      </c>
      <c r="D96" t="s">
        <v>9</v>
      </c>
      <c r="E96" t="s">
        <v>14</v>
      </c>
      <c r="F96" s="3">
        <v>0</v>
      </c>
      <c r="G96" s="3">
        <v>0</v>
      </c>
    </row>
    <row r="97" spans="1:7" x14ac:dyDescent="0.2">
      <c r="A97">
        <v>2016</v>
      </c>
      <c r="B97" t="s">
        <v>64</v>
      </c>
      <c r="C97" t="s">
        <v>8</v>
      </c>
      <c r="D97" t="s">
        <v>9</v>
      </c>
      <c r="E97" t="s">
        <v>15</v>
      </c>
      <c r="F97" s="3">
        <v>0</v>
      </c>
      <c r="G97" s="3">
        <v>0</v>
      </c>
    </row>
    <row r="98" spans="1:7" x14ac:dyDescent="0.2">
      <c r="A98">
        <v>2017</v>
      </c>
      <c r="B98" t="s">
        <v>64</v>
      </c>
      <c r="C98" t="s">
        <v>8</v>
      </c>
      <c r="D98" t="s">
        <v>9</v>
      </c>
      <c r="E98" t="s">
        <v>16</v>
      </c>
      <c r="F98" s="3">
        <v>0</v>
      </c>
      <c r="G98" s="3">
        <v>0</v>
      </c>
    </row>
    <row r="99" spans="1:7" x14ac:dyDescent="0.2">
      <c r="A99">
        <v>2018</v>
      </c>
      <c r="B99" t="s">
        <v>64</v>
      </c>
      <c r="C99" t="s">
        <v>8</v>
      </c>
      <c r="D99" t="s">
        <v>9</v>
      </c>
      <c r="E99" t="s">
        <v>17</v>
      </c>
      <c r="F99" s="3">
        <v>0</v>
      </c>
      <c r="G99" s="3">
        <v>0</v>
      </c>
    </row>
    <row r="100" spans="1:7" x14ac:dyDescent="0.2">
      <c r="A100">
        <v>2019</v>
      </c>
      <c r="B100" t="s">
        <v>64</v>
      </c>
      <c r="C100" t="s">
        <v>8</v>
      </c>
      <c r="D100" t="s">
        <v>9</v>
      </c>
      <c r="E100" t="s">
        <v>18</v>
      </c>
      <c r="F100" s="3">
        <v>0</v>
      </c>
      <c r="G100" s="3">
        <v>0</v>
      </c>
    </row>
    <row r="101" spans="1:7" x14ac:dyDescent="0.2">
      <c r="A101">
        <v>2020</v>
      </c>
      <c r="B101" t="s">
        <v>64</v>
      </c>
      <c r="C101" t="s">
        <v>8</v>
      </c>
      <c r="D101" t="s">
        <v>9</v>
      </c>
      <c r="E101" t="s">
        <v>19</v>
      </c>
      <c r="F101" s="3">
        <v>0</v>
      </c>
      <c r="G101" s="3">
        <v>0</v>
      </c>
    </row>
    <row r="102" spans="1:7" x14ac:dyDescent="0.2">
      <c r="A102">
        <v>2011</v>
      </c>
      <c r="B102" t="s">
        <v>65</v>
      </c>
      <c r="C102" t="s">
        <v>8</v>
      </c>
      <c r="D102" t="s">
        <v>20</v>
      </c>
      <c r="E102" t="s">
        <v>21</v>
      </c>
      <c r="F102" s="3">
        <v>0</v>
      </c>
      <c r="G102" s="3">
        <v>0</v>
      </c>
    </row>
    <row r="103" spans="1:7" x14ac:dyDescent="0.2">
      <c r="A103">
        <v>2012</v>
      </c>
      <c r="B103" t="s">
        <v>65</v>
      </c>
      <c r="C103" t="s">
        <v>8</v>
      </c>
      <c r="D103" t="s">
        <v>20</v>
      </c>
      <c r="E103" t="s">
        <v>22</v>
      </c>
      <c r="F103" s="3">
        <v>33</v>
      </c>
      <c r="G103" s="3">
        <v>33</v>
      </c>
    </row>
    <row r="104" spans="1:7" x14ac:dyDescent="0.2">
      <c r="A104">
        <v>2013</v>
      </c>
      <c r="B104" t="s">
        <v>65</v>
      </c>
      <c r="C104" t="s">
        <v>8</v>
      </c>
      <c r="D104" t="s">
        <v>20</v>
      </c>
      <c r="E104" t="s">
        <v>23</v>
      </c>
      <c r="F104" s="3">
        <v>0</v>
      </c>
      <c r="G104" s="3">
        <v>0</v>
      </c>
    </row>
    <row r="105" spans="1:7" x14ac:dyDescent="0.2">
      <c r="A105">
        <v>2014</v>
      </c>
      <c r="B105" t="s">
        <v>65</v>
      </c>
      <c r="C105" t="s">
        <v>8</v>
      </c>
      <c r="D105" t="s">
        <v>20</v>
      </c>
      <c r="E105" t="s">
        <v>24</v>
      </c>
      <c r="F105" s="3">
        <v>0</v>
      </c>
      <c r="G105" s="3">
        <v>0</v>
      </c>
    </row>
    <row r="106" spans="1:7" x14ac:dyDescent="0.2">
      <c r="A106">
        <v>2015</v>
      </c>
      <c r="B106" t="s">
        <v>65</v>
      </c>
      <c r="C106" t="s">
        <v>8</v>
      </c>
      <c r="D106" t="s">
        <v>20</v>
      </c>
      <c r="E106" t="s">
        <v>25</v>
      </c>
      <c r="F106" s="3">
        <v>83</v>
      </c>
      <c r="G106" s="3">
        <v>83</v>
      </c>
    </row>
    <row r="107" spans="1:7" x14ac:dyDescent="0.2">
      <c r="A107">
        <v>2016</v>
      </c>
      <c r="B107" t="s">
        <v>65</v>
      </c>
      <c r="C107" t="s">
        <v>8</v>
      </c>
      <c r="D107" t="s">
        <v>20</v>
      </c>
      <c r="E107" t="s">
        <v>26</v>
      </c>
      <c r="F107" s="3">
        <v>0</v>
      </c>
      <c r="G107" s="3">
        <v>0</v>
      </c>
    </row>
    <row r="108" spans="1:7" x14ac:dyDescent="0.2">
      <c r="A108">
        <v>2017</v>
      </c>
      <c r="B108" t="s">
        <v>65</v>
      </c>
      <c r="C108" t="s">
        <v>8</v>
      </c>
      <c r="D108" t="s">
        <v>20</v>
      </c>
      <c r="E108" t="s">
        <v>27</v>
      </c>
      <c r="F108" s="3">
        <v>0</v>
      </c>
      <c r="G108" s="3">
        <v>0</v>
      </c>
    </row>
    <row r="109" spans="1:7" x14ac:dyDescent="0.2">
      <c r="A109">
        <v>2018</v>
      </c>
      <c r="B109" t="s">
        <v>65</v>
      </c>
      <c r="C109" t="s">
        <v>8</v>
      </c>
      <c r="D109" t="s">
        <v>20</v>
      </c>
      <c r="E109" t="s">
        <v>28</v>
      </c>
      <c r="F109" s="3">
        <v>20</v>
      </c>
      <c r="G109" s="3">
        <v>20</v>
      </c>
    </row>
    <row r="110" spans="1:7" x14ac:dyDescent="0.2">
      <c r="A110">
        <v>2019</v>
      </c>
      <c r="B110" t="s">
        <v>65</v>
      </c>
      <c r="C110" t="s">
        <v>8</v>
      </c>
      <c r="D110" t="s">
        <v>20</v>
      </c>
      <c r="E110" t="s">
        <v>29</v>
      </c>
      <c r="F110" s="3">
        <v>0</v>
      </c>
      <c r="G110" s="3">
        <v>0</v>
      </c>
    </row>
    <row r="111" spans="1:7" x14ac:dyDescent="0.2">
      <c r="A111">
        <v>2020</v>
      </c>
      <c r="B111" t="s">
        <v>65</v>
      </c>
      <c r="C111" t="s">
        <v>8</v>
      </c>
      <c r="D111" t="s">
        <v>20</v>
      </c>
      <c r="E111" t="s">
        <v>30</v>
      </c>
      <c r="F111" s="3">
        <v>0</v>
      </c>
      <c r="G111" s="3">
        <v>0</v>
      </c>
    </row>
    <row r="112" spans="1:7" x14ac:dyDescent="0.2">
      <c r="A112">
        <v>2011</v>
      </c>
      <c r="B112" t="s">
        <v>65</v>
      </c>
      <c r="C112" t="s">
        <v>8</v>
      </c>
      <c r="D112" t="s">
        <v>31</v>
      </c>
      <c r="E112" t="s">
        <v>32</v>
      </c>
      <c r="F112" s="3">
        <v>1087</v>
      </c>
      <c r="G112" s="3">
        <v>1087</v>
      </c>
    </row>
    <row r="113" spans="1:7" x14ac:dyDescent="0.2">
      <c r="A113">
        <v>2012</v>
      </c>
      <c r="B113" t="s">
        <v>65</v>
      </c>
      <c r="C113" t="s">
        <v>8</v>
      </c>
      <c r="D113" t="s">
        <v>31</v>
      </c>
      <c r="E113" t="s">
        <v>33</v>
      </c>
      <c r="F113" s="3">
        <v>639</v>
      </c>
      <c r="G113" s="3">
        <v>639</v>
      </c>
    </row>
    <row r="114" spans="1:7" x14ac:dyDescent="0.2">
      <c r="A114">
        <v>2013</v>
      </c>
      <c r="B114" t="s">
        <v>65</v>
      </c>
      <c r="C114" t="s">
        <v>8</v>
      </c>
      <c r="D114" t="s">
        <v>31</v>
      </c>
      <c r="E114" t="s">
        <v>34</v>
      </c>
      <c r="F114" s="3">
        <v>895</v>
      </c>
      <c r="G114" s="3">
        <v>895</v>
      </c>
    </row>
    <row r="115" spans="1:7" x14ac:dyDescent="0.2">
      <c r="A115">
        <v>2014</v>
      </c>
      <c r="B115" t="s">
        <v>65</v>
      </c>
      <c r="C115" t="s">
        <v>8</v>
      </c>
      <c r="D115" t="s">
        <v>31</v>
      </c>
      <c r="E115" t="s">
        <v>35</v>
      </c>
      <c r="F115" s="3">
        <v>784</v>
      </c>
      <c r="G115" s="3">
        <v>784</v>
      </c>
    </row>
    <row r="116" spans="1:7" x14ac:dyDescent="0.2">
      <c r="A116">
        <v>2015</v>
      </c>
      <c r="B116" t="s">
        <v>65</v>
      </c>
      <c r="C116" t="s">
        <v>8</v>
      </c>
      <c r="D116" t="s">
        <v>31</v>
      </c>
      <c r="E116" t="s">
        <v>36</v>
      </c>
      <c r="F116" s="3">
        <v>503</v>
      </c>
      <c r="G116" s="3">
        <v>503</v>
      </c>
    </row>
    <row r="117" spans="1:7" x14ac:dyDescent="0.2">
      <c r="A117">
        <v>2016</v>
      </c>
      <c r="B117" t="s">
        <v>65</v>
      </c>
      <c r="C117" t="s">
        <v>8</v>
      </c>
      <c r="D117" t="s">
        <v>31</v>
      </c>
      <c r="E117" t="s">
        <v>37</v>
      </c>
      <c r="F117" s="3">
        <v>1181</v>
      </c>
      <c r="G117" s="3">
        <v>1181</v>
      </c>
    </row>
    <row r="118" spans="1:7" x14ac:dyDescent="0.2">
      <c r="A118">
        <v>2017</v>
      </c>
      <c r="B118" t="s">
        <v>65</v>
      </c>
      <c r="C118" t="s">
        <v>8</v>
      </c>
      <c r="D118" t="s">
        <v>31</v>
      </c>
      <c r="E118" t="s">
        <v>38</v>
      </c>
      <c r="F118" s="3">
        <v>1249</v>
      </c>
      <c r="G118" s="3">
        <v>1249</v>
      </c>
    </row>
    <row r="119" spans="1:7" x14ac:dyDescent="0.2">
      <c r="A119">
        <v>2018</v>
      </c>
      <c r="B119" t="s">
        <v>65</v>
      </c>
      <c r="C119" t="s">
        <v>8</v>
      </c>
      <c r="D119" t="s">
        <v>31</v>
      </c>
      <c r="E119" t="s">
        <v>39</v>
      </c>
      <c r="F119" s="3">
        <v>2474</v>
      </c>
      <c r="G119" s="3">
        <v>2474</v>
      </c>
    </row>
    <row r="120" spans="1:7" x14ac:dyDescent="0.2">
      <c r="A120">
        <v>2019</v>
      </c>
      <c r="B120" t="s">
        <v>65</v>
      </c>
      <c r="C120" t="s">
        <v>8</v>
      </c>
      <c r="D120" t="s">
        <v>31</v>
      </c>
      <c r="E120" t="s">
        <v>40</v>
      </c>
      <c r="F120" s="3">
        <v>2393</v>
      </c>
      <c r="G120" s="3">
        <v>2393</v>
      </c>
    </row>
    <row r="121" spans="1:7" x14ac:dyDescent="0.2">
      <c r="A121">
        <v>2020</v>
      </c>
      <c r="B121" t="s">
        <v>65</v>
      </c>
      <c r="C121" t="s">
        <v>8</v>
      </c>
      <c r="D121" t="s">
        <v>31</v>
      </c>
      <c r="E121" t="s">
        <v>41</v>
      </c>
      <c r="F121" s="3">
        <v>1991</v>
      </c>
      <c r="G121" s="3">
        <v>1991</v>
      </c>
    </row>
    <row r="122" spans="1:7" x14ac:dyDescent="0.2">
      <c r="A122">
        <v>2011</v>
      </c>
      <c r="B122" t="s">
        <v>65</v>
      </c>
      <c r="C122" t="s">
        <v>8</v>
      </c>
      <c r="D122" t="s">
        <v>42</v>
      </c>
      <c r="E122" t="s">
        <v>43</v>
      </c>
      <c r="F122" s="3">
        <v>56</v>
      </c>
      <c r="G122" s="3">
        <v>56</v>
      </c>
    </row>
    <row r="123" spans="1:7" x14ac:dyDescent="0.2">
      <c r="A123">
        <v>2012</v>
      </c>
      <c r="B123" t="s">
        <v>65</v>
      </c>
      <c r="C123" t="s">
        <v>8</v>
      </c>
      <c r="D123" t="s">
        <v>42</v>
      </c>
      <c r="E123" t="s">
        <v>44</v>
      </c>
      <c r="F123" s="3">
        <v>134</v>
      </c>
      <c r="G123" s="3">
        <v>134</v>
      </c>
    </row>
    <row r="124" spans="1:7" x14ac:dyDescent="0.2">
      <c r="A124">
        <v>2013</v>
      </c>
      <c r="B124" t="s">
        <v>65</v>
      </c>
      <c r="C124" t="s">
        <v>8</v>
      </c>
      <c r="D124" t="s">
        <v>42</v>
      </c>
      <c r="E124" t="s">
        <v>45</v>
      </c>
      <c r="F124" s="3">
        <v>0</v>
      </c>
      <c r="G124" s="3">
        <v>0</v>
      </c>
    </row>
    <row r="125" spans="1:7" x14ac:dyDescent="0.2">
      <c r="A125">
        <v>2014</v>
      </c>
      <c r="B125" t="s">
        <v>65</v>
      </c>
      <c r="C125" t="s">
        <v>8</v>
      </c>
      <c r="D125" t="s">
        <v>42</v>
      </c>
      <c r="E125" t="s">
        <v>46</v>
      </c>
      <c r="F125" s="3">
        <v>0</v>
      </c>
      <c r="G125" s="3">
        <v>0</v>
      </c>
    </row>
    <row r="126" spans="1:7" x14ac:dyDescent="0.2">
      <c r="A126">
        <v>2015</v>
      </c>
      <c r="B126" t="s">
        <v>65</v>
      </c>
      <c r="C126" t="s">
        <v>8</v>
      </c>
      <c r="D126" t="s">
        <v>42</v>
      </c>
      <c r="E126" t="s">
        <v>47</v>
      </c>
      <c r="F126" s="3">
        <v>0</v>
      </c>
      <c r="G126" s="3">
        <v>0</v>
      </c>
    </row>
    <row r="127" spans="1:7" x14ac:dyDescent="0.2">
      <c r="A127">
        <v>2016</v>
      </c>
      <c r="B127" t="s">
        <v>65</v>
      </c>
      <c r="C127" t="s">
        <v>8</v>
      </c>
      <c r="D127" t="s">
        <v>42</v>
      </c>
      <c r="E127" t="s">
        <v>48</v>
      </c>
      <c r="F127" s="3">
        <v>0</v>
      </c>
      <c r="G127" s="3">
        <v>0</v>
      </c>
    </row>
    <row r="128" spans="1:7" x14ac:dyDescent="0.2">
      <c r="A128">
        <v>2017</v>
      </c>
      <c r="B128" t="s">
        <v>65</v>
      </c>
      <c r="C128" t="s">
        <v>8</v>
      </c>
      <c r="D128" t="s">
        <v>42</v>
      </c>
      <c r="E128" t="s">
        <v>49</v>
      </c>
      <c r="F128" s="3">
        <v>19</v>
      </c>
      <c r="G128" s="3">
        <v>19</v>
      </c>
    </row>
    <row r="129" spans="1:7" x14ac:dyDescent="0.2">
      <c r="A129">
        <v>2018</v>
      </c>
      <c r="B129" t="s">
        <v>65</v>
      </c>
      <c r="C129" t="s">
        <v>8</v>
      </c>
      <c r="D129" t="s">
        <v>42</v>
      </c>
      <c r="E129" t="s">
        <v>50</v>
      </c>
      <c r="F129" s="3">
        <v>31</v>
      </c>
      <c r="G129" s="3">
        <v>31</v>
      </c>
    </row>
    <row r="130" spans="1:7" x14ac:dyDescent="0.2">
      <c r="A130">
        <v>2019</v>
      </c>
      <c r="B130" t="s">
        <v>65</v>
      </c>
      <c r="C130" t="s">
        <v>8</v>
      </c>
      <c r="D130" t="s">
        <v>42</v>
      </c>
      <c r="E130" t="s">
        <v>51</v>
      </c>
      <c r="F130" s="3">
        <v>0</v>
      </c>
      <c r="G130" s="3">
        <v>0</v>
      </c>
    </row>
    <row r="131" spans="1:7" x14ac:dyDescent="0.2">
      <c r="A131">
        <v>2020</v>
      </c>
      <c r="B131" t="s">
        <v>65</v>
      </c>
      <c r="C131" t="s">
        <v>8</v>
      </c>
      <c r="D131" t="s">
        <v>42</v>
      </c>
      <c r="E131" t="s">
        <v>52</v>
      </c>
      <c r="F131" s="3">
        <v>9</v>
      </c>
      <c r="G131" s="3">
        <v>9</v>
      </c>
    </row>
    <row r="132" spans="1:7" x14ac:dyDescent="0.2">
      <c r="A132">
        <v>2011</v>
      </c>
      <c r="B132" t="s">
        <v>65</v>
      </c>
      <c r="C132" t="s">
        <v>8</v>
      </c>
      <c r="D132" t="s">
        <v>53</v>
      </c>
      <c r="E132" t="s">
        <v>54</v>
      </c>
      <c r="F132" s="3">
        <v>0</v>
      </c>
      <c r="G132" s="3">
        <v>0</v>
      </c>
    </row>
    <row r="133" spans="1:7" x14ac:dyDescent="0.2">
      <c r="A133">
        <v>2012</v>
      </c>
      <c r="B133" t="s">
        <v>65</v>
      </c>
      <c r="C133" t="s">
        <v>8</v>
      </c>
      <c r="D133" t="s">
        <v>53</v>
      </c>
      <c r="E133" t="s">
        <v>55</v>
      </c>
      <c r="F133" s="3">
        <v>0</v>
      </c>
      <c r="G133" s="3">
        <v>0</v>
      </c>
    </row>
    <row r="134" spans="1:7" x14ac:dyDescent="0.2">
      <c r="A134">
        <v>2013</v>
      </c>
      <c r="B134" t="s">
        <v>65</v>
      </c>
      <c r="C134" t="s">
        <v>8</v>
      </c>
      <c r="D134" t="s">
        <v>53</v>
      </c>
      <c r="E134" t="s">
        <v>56</v>
      </c>
      <c r="F134" s="3">
        <v>0</v>
      </c>
      <c r="G134" s="3">
        <v>0</v>
      </c>
    </row>
    <row r="135" spans="1:7" x14ac:dyDescent="0.2">
      <c r="A135">
        <v>2014</v>
      </c>
      <c r="B135" t="s">
        <v>65</v>
      </c>
      <c r="C135" t="s">
        <v>8</v>
      </c>
      <c r="D135" t="s">
        <v>53</v>
      </c>
      <c r="E135" t="s">
        <v>57</v>
      </c>
      <c r="F135" s="3">
        <v>0</v>
      </c>
      <c r="G135" s="3">
        <v>0</v>
      </c>
    </row>
    <row r="136" spans="1:7" x14ac:dyDescent="0.2">
      <c r="A136">
        <v>2015</v>
      </c>
      <c r="B136" t="s">
        <v>65</v>
      </c>
      <c r="C136" t="s">
        <v>8</v>
      </c>
      <c r="D136" t="s">
        <v>53</v>
      </c>
      <c r="E136" t="s">
        <v>58</v>
      </c>
      <c r="F136" s="3">
        <v>0</v>
      </c>
      <c r="G136" s="3">
        <v>0</v>
      </c>
    </row>
    <row r="137" spans="1:7" x14ac:dyDescent="0.2">
      <c r="A137">
        <v>2016</v>
      </c>
      <c r="B137" t="s">
        <v>65</v>
      </c>
      <c r="C137" t="s">
        <v>8</v>
      </c>
      <c r="D137" t="s">
        <v>53</v>
      </c>
      <c r="E137" t="s">
        <v>59</v>
      </c>
      <c r="F137" s="3">
        <v>0</v>
      </c>
      <c r="G137" s="3">
        <v>0</v>
      </c>
    </row>
    <row r="138" spans="1:7" x14ac:dyDescent="0.2">
      <c r="A138">
        <v>2017</v>
      </c>
      <c r="B138" t="s">
        <v>65</v>
      </c>
      <c r="C138" t="s">
        <v>8</v>
      </c>
      <c r="D138" t="s">
        <v>53</v>
      </c>
      <c r="E138" t="s">
        <v>60</v>
      </c>
      <c r="F138" s="3">
        <v>18</v>
      </c>
      <c r="G138" s="3">
        <v>18</v>
      </c>
    </row>
    <row r="139" spans="1:7" x14ac:dyDescent="0.2">
      <c r="A139">
        <v>2018</v>
      </c>
      <c r="B139" t="s">
        <v>65</v>
      </c>
      <c r="C139" t="s">
        <v>8</v>
      </c>
      <c r="D139" t="s">
        <v>53</v>
      </c>
      <c r="E139" t="s">
        <v>61</v>
      </c>
      <c r="F139" s="3">
        <v>0</v>
      </c>
      <c r="G139" s="3">
        <v>0</v>
      </c>
    </row>
    <row r="140" spans="1:7" x14ac:dyDescent="0.2">
      <c r="A140">
        <v>2019</v>
      </c>
      <c r="B140" t="s">
        <v>65</v>
      </c>
      <c r="C140" t="s">
        <v>8</v>
      </c>
      <c r="D140" t="s">
        <v>53</v>
      </c>
      <c r="E140" t="s">
        <v>62</v>
      </c>
      <c r="F140" s="3">
        <v>44</v>
      </c>
      <c r="G140" s="3">
        <v>44</v>
      </c>
    </row>
    <row r="141" spans="1:7" x14ac:dyDescent="0.2">
      <c r="A141">
        <v>2020</v>
      </c>
      <c r="B141" t="s">
        <v>65</v>
      </c>
      <c r="C141" t="s">
        <v>8</v>
      </c>
      <c r="D141" t="s">
        <v>53</v>
      </c>
      <c r="E141" t="s">
        <v>63</v>
      </c>
      <c r="F141" s="3">
        <v>0</v>
      </c>
      <c r="G141" s="3">
        <v>0</v>
      </c>
    </row>
    <row r="142" spans="1:7" x14ac:dyDescent="0.2">
      <c r="A142">
        <v>2011</v>
      </c>
      <c r="B142" t="s">
        <v>65</v>
      </c>
      <c r="C142" t="s">
        <v>8</v>
      </c>
      <c r="D142" t="s">
        <v>9</v>
      </c>
      <c r="E142" t="s">
        <v>10</v>
      </c>
      <c r="F142" s="3">
        <v>0</v>
      </c>
      <c r="G142" s="3">
        <v>0</v>
      </c>
    </row>
    <row r="143" spans="1:7" x14ac:dyDescent="0.2">
      <c r="A143">
        <v>2012</v>
      </c>
      <c r="B143" t="s">
        <v>65</v>
      </c>
      <c r="C143" t="s">
        <v>8</v>
      </c>
      <c r="D143" t="s">
        <v>9</v>
      </c>
      <c r="E143" t="s">
        <v>11</v>
      </c>
      <c r="F143" s="3">
        <v>0</v>
      </c>
      <c r="G143" s="3">
        <v>0</v>
      </c>
    </row>
    <row r="144" spans="1:7" x14ac:dyDescent="0.2">
      <c r="A144">
        <v>2013</v>
      </c>
      <c r="B144" t="s">
        <v>65</v>
      </c>
      <c r="C144" t="s">
        <v>8</v>
      </c>
      <c r="D144" t="s">
        <v>9</v>
      </c>
      <c r="E144" t="s">
        <v>12</v>
      </c>
      <c r="F144" s="3">
        <v>0</v>
      </c>
      <c r="G144" s="3">
        <v>0</v>
      </c>
    </row>
    <row r="145" spans="1:7" x14ac:dyDescent="0.2">
      <c r="A145">
        <v>2014</v>
      </c>
      <c r="B145" t="s">
        <v>65</v>
      </c>
      <c r="C145" t="s">
        <v>8</v>
      </c>
      <c r="D145" t="s">
        <v>9</v>
      </c>
      <c r="E145" t="s">
        <v>13</v>
      </c>
      <c r="F145" s="3">
        <v>0</v>
      </c>
      <c r="G145" s="3">
        <v>0</v>
      </c>
    </row>
    <row r="146" spans="1:7" x14ac:dyDescent="0.2">
      <c r="A146">
        <v>2015</v>
      </c>
      <c r="B146" t="s">
        <v>65</v>
      </c>
      <c r="C146" t="s">
        <v>8</v>
      </c>
      <c r="D146" t="s">
        <v>9</v>
      </c>
      <c r="E146" t="s">
        <v>14</v>
      </c>
      <c r="F146" s="3">
        <v>0</v>
      </c>
      <c r="G146" s="3">
        <v>0</v>
      </c>
    </row>
    <row r="147" spans="1:7" x14ac:dyDescent="0.2">
      <c r="A147">
        <v>2016</v>
      </c>
      <c r="B147" t="s">
        <v>65</v>
      </c>
      <c r="C147" t="s">
        <v>8</v>
      </c>
      <c r="D147" t="s">
        <v>9</v>
      </c>
      <c r="E147" t="s">
        <v>15</v>
      </c>
      <c r="F147" s="3">
        <v>0</v>
      </c>
      <c r="G147" s="3">
        <v>0</v>
      </c>
    </row>
    <row r="148" spans="1:7" x14ac:dyDescent="0.2">
      <c r="A148">
        <v>2017</v>
      </c>
      <c r="B148" t="s">
        <v>65</v>
      </c>
      <c r="C148" t="s">
        <v>8</v>
      </c>
      <c r="D148" t="s">
        <v>9</v>
      </c>
      <c r="E148" t="s">
        <v>16</v>
      </c>
      <c r="F148" s="3">
        <v>0</v>
      </c>
      <c r="G148" s="3">
        <v>0</v>
      </c>
    </row>
    <row r="149" spans="1:7" x14ac:dyDescent="0.2">
      <c r="A149">
        <v>2018</v>
      </c>
      <c r="B149" t="s">
        <v>65</v>
      </c>
      <c r="C149" t="s">
        <v>8</v>
      </c>
      <c r="D149" t="s">
        <v>9</v>
      </c>
      <c r="E149" t="s">
        <v>17</v>
      </c>
      <c r="F149" s="3">
        <v>0</v>
      </c>
      <c r="G149" s="3">
        <v>0</v>
      </c>
    </row>
    <row r="150" spans="1:7" x14ac:dyDescent="0.2">
      <c r="A150">
        <v>2019</v>
      </c>
      <c r="B150" t="s">
        <v>65</v>
      </c>
      <c r="C150" t="s">
        <v>8</v>
      </c>
      <c r="D150" t="s">
        <v>9</v>
      </c>
      <c r="E150" t="s">
        <v>18</v>
      </c>
      <c r="F150" s="3">
        <v>0</v>
      </c>
      <c r="G150" s="3">
        <v>0</v>
      </c>
    </row>
    <row r="151" spans="1:7" x14ac:dyDescent="0.2">
      <c r="A151">
        <v>2020</v>
      </c>
      <c r="B151" t="s">
        <v>65</v>
      </c>
      <c r="C151" t="s">
        <v>8</v>
      </c>
      <c r="D151" t="s">
        <v>9</v>
      </c>
      <c r="E151" t="s">
        <v>19</v>
      </c>
      <c r="F151" s="3">
        <v>0</v>
      </c>
      <c r="G151" s="3">
        <v>0</v>
      </c>
    </row>
    <row r="152" spans="1:7" x14ac:dyDescent="0.2">
      <c r="A152">
        <v>2011</v>
      </c>
      <c r="B152" t="s">
        <v>66</v>
      </c>
      <c r="C152" t="s">
        <v>8</v>
      </c>
      <c r="D152" t="s">
        <v>20</v>
      </c>
      <c r="E152" t="s">
        <v>21</v>
      </c>
      <c r="F152" s="3">
        <v>239016.4</v>
      </c>
      <c r="G152" s="3">
        <v>432978</v>
      </c>
    </row>
    <row r="153" spans="1:7" x14ac:dyDescent="0.2">
      <c r="A153">
        <v>2012</v>
      </c>
      <c r="B153" t="s">
        <v>66</v>
      </c>
      <c r="C153" t="s">
        <v>8</v>
      </c>
      <c r="D153" t="s">
        <v>20</v>
      </c>
      <c r="E153" t="s">
        <v>22</v>
      </c>
      <c r="F153" s="3">
        <v>262602.54000000004</v>
      </c>
      <c r="G153" s="3">
        <v>485775</v>
      </c>
    </row>
    <row r="154" spans="1:7" x14ac:dyDescent="0.2">
      <c r="A154">
        <v>2013</v>
      </c>
      <c r="B154" t="s">
        <v>66</v>
      </c>
      <c r="C154" t="s">
        <v>8</v>
      </c>
      <c r="D154" t="s">
        <v>20</v>
      </c>
      <c r="E154" t="s">
        <v>23</v>
      </c>
      <c r="F154" s="3">
        <v>270185.88</v>
      </c>
      <c r="G154" s="3">
        <v>484310</v>
      </c>
    </row>
    <row r="155" spans="1:7" x14ac:dyDescent="0.2">
      <c r="A155">
        <v>2014</v>
      </c>
      <c r="B155" t="s">
        <v>66</v>
      </c>
      <c r="C155" t="s">
        <v>8</v>
      </c>
      <c r="D155" t="s">
        <v>20</v>
      </c>
      <c r="E155" t="s">
        <v>24</v>
      </c>
      <c r="F155" s="3">
        <v>237773.32</v>
      </c>
      <c r="G155" s="3">
        <v>414581</v>
      </c>
    </row>
    <row r="156" spans="1:7" x14ac:dyDescent="0.2">
      <c r="A156">
        <v>2015</v>
      </c>
      <c r="B156" t="s">
        <v>66</v>
      </c>
      <c r="C156" t="s">
        <v>8</v>
      </c>
      <c r="D156" t="s">
        <v>20</v>
      </c>
      <c r="E156" t="s">
        <v>25</v>
      </c>
      <c r="F156" s="3">
        <v>231174.56</v>
      </c>
      <c r="G156" s="3">
        <v>411228</v>
      </c>
    </row>
    <row r="157" spans="1:7" x14ac:dyDescent="0.2">
      <c r="A157">
        <v>2016</v>
      </c>
      <c r="B157" t="s">
        <v>66</v>
      </c>
      <c r="C157" t="s">
        <v>8</v>
      </c>
      <c r="D157" t="s">
        <v>20</v>
      </c>
      <c r="E157" t="s">
        <v>26</v>
      </c>
      <c r="F157" s="3">
        <v>193048.02</v>
      </c>
      <c r="G157" s="3">
        <v>354602</v>
      </c>
    </row>
    <row r="158" spans="1:7" x14ac:dyDescent="0.2">
      <c r="A158">
        <v>2017</v>
      </c>
      <c r="B158" t="s">
        <v>66</v>
      </c>
      <c r="C158" t="s">
        <v>8</v>
      </c>
      <c r="D158" t="s">
        <v>20</v>
      </c>
      <c r="E158" t="s">
        <v>27</v>
      </c>
      <c r="F158" s="3">
        <v>186317.55</v>
      </c>
      <c r="G158" s="3">
        <v>329106</v>
      </c>
    </row>
    <row r="159" spans="1:7" x14ac:dyDescent="0.2">
      <c r="A159">
        <v>2018</v>
      </c>
      <c r="B159" t="s">
        <v>66</v>
      </c>
      <c r="C159" t="s">
        <v>8</v>
      </c>
      <c r="D159" t="s">
        <v>20</v>
      </c>
      <c r="E159" t="s">
        <v>28</v>
      </c>
      <c r="F159" s="3">
        <v>130859.72</v>
      </c>
      <c r="G159" s="3">
        <v>215469</v>
      </c>
    </row>
    <row r="160" spans="1:7" x14ac:dyDescent="0.2">
      <c r="A160">
        <v>2019</v>
      </c>
      <c r="B160" t="s">
        <v>66</v>
      </c>
      <c r="C160" t="s">
        <v>8</v>
      </c>
      <c r="D160" t="s">
        <v>20</v>
      </c>
      <c r="E160" t="s">
        <v>29</v>
      </c>
      <c r="F160" s="3">
        <v>320020.89</v>
      </c>
      <c r="G160" s="3">
        <v>552006</v>
      </c>
    </row>
    <row r="161" spans="1:7" x14ac:dyDescent="0.2">
      <c r="A161">
        <v>2020</v>
      </c>
      <c r="B161" t="s">
        <v>66</v>
      </c>
      <c r="C161" t="s">
        <v>8</v>
      </c>
      <c r="D161" t="s">
        <v>20</v>
      </c>
      <c r="E161" t="s">
        <v>30</v>
      </c>
      <c r="F161" s="3">
        <v>167629.91999999998</v>
      </c>
      <c r="G161" s="3">
        <v>292968</v>
      </c>
    </row>
    <row r="162" spans="1:7" x14ac:dyDescent="0.2">
      <c r="A162">
        <v>2011</v>
      </c>
      <c r="B162" t="s">
        <v>66</v>
      </c>
      <c r="C162" t="s">
        <v>8</v>
      </c>
      <c r="D162" t="s">
        <v>31</v>
      </c>
      <c r="E162" t="s">
        <v>32</v>
      </c>
      <c r="F162" s="3">
        <v>14062.04</v>
      </c>
      <c r="G162" s="3">
        <v>48485</v>
      </c>
    </row>
    <row r="163" spans="1:7" x14ac:dyDescent="0.2">
      <c r="A163">
        <v>2012</v>
      </c>
      <c r="B163" t="s">
        <v>66</v>
      </c>
      <c r="C163" t="s">
        <v>8</v>
      </c>
      <c r="D163" t="s">
        <v>31</v>
      </c>
      <c r="E163" t="s">
        <v>33</v>
      </c>
      <c r="F163" s="3">
        <v>12845.54</v>
      </c>
      <c r="G163" s="3">
        <v>41243</v>
      </c>
    </row>
    <row r="164" spans="1:7" x14ac:dyDescent="0.2">
      <c r="A164">
        <v>2013</v>
      </c>
      <c r="B164" t="s">
        <v>66</v>
      </c>
      <c r="C164" t="s">
        <v>8</v>
      </c>
      <c r="D164" t="s">
        <v>31</v>
      </c>
      <c r="E164" t="s">
        <v>34</v>
      </c>
      <c r="F164" s="3">
        <v>15094.88</v>
      </c>
      <c r="G164" s="3">
        <v>53279</v>
      </c>
    </row>
    <row r="165" spans="1:7" x14ac:dyDescent="0.2">
      <c r="A165">
        <v>2014</v>
      </c>
      <c r="B165" t="s">
        <v>66</v>
      </c>
      <c r="C165" t="s">
        <v>8</v>
      </c>
      <c r="D165" t="s">
        <v>31</v>
      </c>
      <c r="E165" t="s">
        <v>35</v>
      </c>
      <c r="F165" s="3">
        <v>16455.52</v>
      </c>
      <c r="G165" s="3">
        <v>63697</v>
      </c>
    </row>
    <row r="166" spans="1:7" x14ac:dyDescent="0.2">
      <c r="A166">
        <v>2015</v>
      </c>
      <c r="B166" t="s">
        <v>66</v>
      </c>
      <c r="C166" t="s">
        <v>8</v>
      </c>
      <c r="D166" t="s">
        <v>31</v>
      </c>
      <c r="E166" t="s">
        <v>36</v>
      </c>
      <c r="F166" s="3">
        <v>17225.739999999998</v>
      </c>
      <c r="G166" s="3">
        <v>61738</v>
      </c>
    </row>
    <row r="167" spans="1:7" x14ac:dyDescent="0.2">
      <c r="A167">
        <v>2016</v>
      </c>
      <c r="B167" t="s">
        <v>66</v>
      </c>
      <c r="C167" t="s">
        <v>8</v>
      </c>
      <c r="D167" t="s">
        <v>31</v>
      </c>
      <c r="E167" t="s">
        <v>37</v>
      </c>
      <c r="F167" s="3">
        <v>12257.82</v>
      </c>
      <c r="G167" s="3">
        <v>43404</v>
      </c>
    </row>
    <row r="168" spans="1:7" x14ac:dyDescent="0.2">
      <c r="A168">
        <v>2017</v>
      </c>
      <c r="B168" t="s">
        <v>66</v>
      </c>
      <c r="C168" t="s">
        <v>8</v>
      </c>
      <c r="D168" t="s">
        <v>31</v>
      </c>
      <c r="E168" t="s">
        <v>38</v>
      </c>
      <c r="F168" s="3">
        <v>14129.94</v>
      </c>
      <c r="G168" s="3">
        <v>51903</v>
      </c>
    </row>
    <row r="169" spans="1:7" x14ac:dyDescent="0.2">
      <c r="A169">
        <v>2018</v>
      </c>
      <c r="B169" t="s">
        <v>66</v>
      </c>
      <c r="C169" t="s">
        <v>8</v>
      </c>
      <c r="D169" t="s">
        <v>31</v>
      </c>
      <c r="E169" t="s">
        <v>39</v>
      </c>
      <c r="F169" s="3">
        <v>16281.98</v>
      </c>
      <c r="G169" s="3">
        <v>55679</v>
      </c>
    </row>
    <row r="170" spans="1:7" x14ac:dyDescent="0.2">
      <c r="A170">
        <v>2019</v>
      </c>
      <c r="B170" t="s">
        <v>66</v>
      </c>
      <c r="C170" t="s">
        <v>8</v>
      </c>
      <c r="D170" t="s">
        <v>31</v>
      </c>
      <c r="E170" t="s">
        <v>40</v>
      </c>
      <c r="F170" s="3">
        <v>12690.14</v>
      </c>
      <c r="G170" s="3">
        <v>44699</v>
      </c>
    </row>
    <row r="171" spans="1:7" x14ac:dyDescent="0.2">
      <c r="A171">
        <v>2020</v>
      </c>
      <c r="B171" t="s">
        <v>66</v>
      </c>
      <c r="C171" t="s">
        <v>8</v>
      </c>
      <c r="D171" t="s">
        <v>31</v>
      </c>
      <c r="E171" t="s">
        <v>41</v>
      </c>
      <c r="F171" s="3">
        <v>9541.2799999999988</v>
      </c>
      <c r="G171" s="3">
        <v>30932</v>
      </c>
    </row>
    <row r="172" spans="1:7" x14ac:dyDescent="0.2">
      <c r="A172">
        <v>2011</v>
      </c>
      <c r="B172" t="s">
        <v>66</v>
      </c>
      <c r="C172" t="s">
        <v>8</v>
      </c>
      <c r="D172" t="s">
        <v>42</v>
      </c>
      <c r="E172" t="s">
        <v>43</v>
      </c>
      <c r="F172" s="3">
        <v>1680.44</v>
      </c>
      <c r="G172" s="3">
        <v>5123</v>
      </c>
    </row>
    <row r="173" spans="1:7" x14ac:dyDescent="0.2">
      <c r="A173">
        <v>2012</v>
      </c>
      <c r="B173" t="s">
        <v>66</v>
      </c>
      <c r="C173" t="s">
        <v>8</v>
      </c>
      <c r="D173" t="s">
        <v>42</v>
      </c>
      <c r="E173" t="s">
        <v>44</v>
      </c>
      <c r="F173" s="3">
        <v>2310.48</v>
      </c>
      <c r="G173" s="3">
        <v>19242</v>
      </c>
    </row>
    <row r="174" spans="1:7" x14ac:dyDescent="0.2">
      <c r="A174">
        <v>2013</v>
      </c>
      <c r="B174" t="s">
        <v>66</v>
      </c>
      <c r="C174" t="s">
        <v>8</v>
      </c>
      <c r="D174" t="s">
        <v>42</v>
      </c>
      <c r="E174" t="s">
        <v>45</v>
      </c>
      <c r="F174" s="3">
        <v>1145.2</v>
      </c>
      <c r="G174" s="3">
        <v>4150</v>
      </c>
    </row>
    <row r="175" spans="1:7" x14ac:dyDescent="0.2">
      <c r="A175">
        <v>2014</v>
      </c>
      <c r="B175" t="s">
        <v>66</v>
      </c>
      <c r="C175" t="s">
        <v>8</v>
      </c>
      <c r="D175" t="s">
        <v>42</v>
      </c>
      <c r="E175" t="s">
        <v>46</v>
      </c>
      <c r="F175" s="3">
        <v>4181.76</v>
      </c>
      <c r="G175" s="3">
        <v>28104</v>
      </c>
    </row>
    <row r="176" spans="1:7" x14ac:dyDescent="0.2">
      <c r="A176">
        <v>2015</v>
      </c>
      <c r="B176" t="s">
        <v>66</v>
      </c>
      <c r="C176" t="s">
        <v>8</v>
      </c>
      <c r="D176" t="s">
        <v>42</v>
      </c>
      <c r="E176" t="s">
        <v>47</v>
      </c>
      <c r="F176" s="3">
        <v>3021.56</v>
      </c>
      <c r="G176" s="3">
        <v>7739</v>
      </c>
    </row>
    <row r="177" spans="1:7" x14ac:dyDescent="0.2">
      <c r="A177">
        <v>2016</v>
      </c>
      <c r="B177" t="s">
        <v>66</v>
      </c>
      <c r="C177" t="s">
        <v>8</v>
      </c>
      <c r="D177" t="s">
        <v>42</v>
      </c>
      <c r="E177" t="s">
        <v>48</v>
      </c>
      <c r="F177" s="3">
        <v>3926.16</v>
      </c>
      <c r="G177" s="3">
        <v>26658</v>
      </c>
    </row>
    <row r="178" spans="1:7" x14ac:dyDescent="0.2">
      <c r="A178">
        <v>2017</v>
      </c>
      <c r="B178" t="s">
        <v>66</v>
      </c>
      <c r="C178" t="s">
        <v>8</v>
      </c>
      <c r="D178" t="s">
        <v>42</v>
      </c>
      <c r="E178" t="s">
        <v>49</v>
      </c>
      <c r="F178" s="3">
        <v>4148.96</v>
      </c>
      <c r="G178" s="3">
        <v>9812</v>
      </c>
    </row>
    <row r="179" spans="1:7" x14ac:dyDescent="0.2">
      <c r="A179">
        <v>2018</v>
      </c>
      <c r="B179" t="s">
        <v>66</v>
      </c>
      <c r="C179" t="s">
        <v>8</v>
      </c>
      <c r="D179" t="s">
        <v>42</v>
      </c>
      <c r="E179" t="s">
        <v>50</v>
      </c>
      <c r="F179" s="3">
        <v>4818.68</v>
      </c>
      <c r="G179" s="3">
        <v>24155</v>
      </c>
    </row>
    <row r="180" spans="1:7" x14ac:dyDescent="0.2">
      <c r="A180">
        <v>2019</v>
      </c>
      <c r="B180" t="s">
        <v>66</v>
      </c>
      <c r="C180" t="s">
        <v>8</v>
      </c>
      <c r="D180" t="s">
        <v>42</v>
      </c>
      <c r="E180" t="s">
        <v>51</v>
      </c>
      <c r="F180" s="3">
        <v>3359.48</v>
      </c>
      <c r="G180" s="3">
        <v>9395</v>
      </c>
    </row>
    <row r="181" spans="1:7" x14ac:dyDescent="0.2">
      <c r="A181">
        <v>2020</v>
      </c>
      <c r="B181" t="s">
        <v>66</v>
      </c>
      <c r="C181" t="s">
        <v>8</v>
      </c>
      <c r="D181" t="s">
        <v>42</v>
      </c>
      <c r="E181" t="s">
        <v>52</v>
      </c>
      <c r="F181" s="3">
        <v>5875.52</v>
      </c>
      <c r="G181" s="3">
        <v>21128</v>
      </c>
    </row>
    <row r="182" spans="1:7" x14ac:dyDescent="0.2">
      <c r="A182">
        <v>2011</v>
      </c>
      <c r="B182" t="s">
        <v>66</v>
      </c>
      <c r="C182" t="s">
        <v>8</v>
      </c>
      <c r="D182" t="s">
        <v>53</v>
      </c>
      <c r="E182" t="s">
        <v>54</v>
      </c>
      <c r="F182" s="3">
        <v>34</v>
      </c>
      <c r="G182" s="3">
        <v>111</v>
      </c>
    </row>
    <row r="183" spans="1:7" x14ac:dyDescent="0.2">
      <c r="A183">
        <v>2012</v>
      </c>
      <c r="B183" t="s">
        <v>66</v>
      </c>
      <c r="C183" t="s">
        <v>8</v>
      </c>
      <c r="D183" t="s">
        <v>53</v>
      </c>
      <c r="E183" t="s">
        <v>55</v>
      </c>
      <c r="F183" s="3">
        <v>18</v>
      </c>
      <c r="G183" s="3">
        <v>375</v>
      </c>
    </row>
    <row r="184" spans="1:7" x14ac:dyDescent="0.2">
      <c r="A184">
        <v>2013</v>
      </c>
      <c r="B184" t="s">
        <v>66</v>
      </c>
      <c r="C184" t="s">
        <v>8</v>
      </c>
      <c r="D184" t="s">
        <v>53</v>
      </c>
      <c r="E184" t="s">
        <v>56</v>
      </c>
      <c r="F184" s="3">
        <v>89</v>
      </c>
      <c r="G184" s="3">
        <v>238</v>
      </c>
    </row>
    <row r="185" spans="1:7" x14ac:dyDescent="0.2">
      <c r="A185">
        <v>2014</v>
      </c>
      <c r="B185" t="s">
        <v>66</v>
      </c>
      <c r="C185" t="s">
        <v>8</v>
      </c>
      <c r="D185" t="s">
        <v>53</v>
      </c>
      <c r="E185" t="s">
        <v>57</v>
      </c>
      <c r="F185" s="3">
        <v>20</v>
      </c>
      <c r="G185" s="3">
        <v>51</v>
      </c>
    </row>
    <row r="186" spans="1:7" x14ac:dyDescent="0.2">
      <c r="A186">
        <v>2015</v>
      </c>
      <c r="B186" t="s">
        <v>66</v>
      </c>
      <c r="C186" t="s">
        <v>8</v>
      </c>
      <c r="D186" t="s">
        <v>53</v>
      </c>
      <c r="E186" t="s">
        <v>58</v>
      </c>
      <c r="F186" s="3">
        <v>332</v>
      </c>
      <c r="G186" s="3">
        <v>522</v>
      </c>
    </row>
    <row r="187" spans="1:7" x14ac:dyDescent="0.2">
      <c r="A187">
        <v>2016</v>
      </c>
      <c r="B187" t="s">
        <v>66</v>
      </c>
      <c r="C187" t="s">
        <v>8</v>
      </c>
      <c r="D187" t="s">
        <v>53</v>
      </c>
      <c r="E187" t="s">
        <v>59</v>
      </c>
      <c r="F187" s="3">
        <v>143</v>
      </c>
      <c r="G187" s="3">
        <v>722</v>
      </c>
    </row>
    <row r="188" spans="1:7" x14ac:dyDescent="0.2">
      <c r="A188">
        <v>2017</v>
      </c>
      <c r="B188" t="s">
        <v>66</v>
      </c>
      <c r="C188" t="s">
        <v>8</v>
      </c>
      <c r="D188" t="s">
        <v>53</v>
      </c>
      <c r="E188" t="s">
        <v>60</v>
      </c>
      <c r="F188" s="3">
        <v>63</v>
      </c>
      <c r="G188" s="3">
        <v>75</v>
      </c>
    </row>
    <row r="189" spans="1:7" x14ac:dyDescent="0.2">
      <c r="A189">
        <v>2018</v>
      </c>
      <c r="B189" t="s">
        <v>66</v>
      </c>
      <c r="C189" t="s">
        <v>8</v>
      </c>
      <c r="D189" t="s">
        <v>53</v>
      </c>
      <c r="E189" t="s">
        <v>61</v>
      </c>
      <c r="F189" s="3">
        <v>286</v>
      </c>
      <c r="G189" s="3">
        <v>286</v>
      </c>
    </row>
    <row r="190" spans="1:7" x14ac:dyDescent="0.2">
      <c r="A190">
        <v>2019</v>
      </c>
      <c r="B190" t="s">
        <v>66</v>
      </c>
      <c r="C190" t="s">
        <v>8</v>
      </c>
      <c r="D190" t="s">
        <v>53</v>
      </c>
      <c r="E190" t="s">
        <v>62</v>
      </c>
      <c r="F190" s="3">
        <v>121</v>
      </c>
      <c r="G190" s="3">
        <v>121</v>
      </c>
    </row>
    <row r="191" spans="1:7" x14ac:dyDescent="0.2">
      <c r="A191">
        <v>2020</v>
      </c>
      <c r="B191" t="s">
        <v>66</v>
      </c>
      <c r="C191" t="s">
        <v>8</v>
      </c>
      <c r="D191" t="s">
        <v>53</v>
      </c>
      <c r="E191" t="s">
        <v>63</v>
      </c>
      <c r="F191" s="3">
        <v>65</v>
      </c>
      <c r="G191" s="3">
        <v>65</v>
      </c>
    </row>
    <row r="192" spans="1:7" x14ac:dyDescent="0.2">
      <c r="A192">
        <v>2011</v>
      </c>
      <c r="B192" t="s">
        <v>66</v>
      </c>
      <c r="C192" t="s">
        <v>8</v>
      </c>
      <c r="D192" t="s">
        <v>9</v>
      </c>
      <c r="E192" t="s">
        <v>10</v>
      </c>
      <c r="F192" s="3">
        <v>1749.8100000000002</v>
      </c>
      <c r="G192" s="3">
        <v>10293</v>
      </c>
    </row>
    <row r="193" spans="1:7" x14ac:dyDescent="0.2">
      <c r="A193">
        <v>2012</v>
      </c>
      <c r="B193" t="s">
        <v>66</v>
      </c>
      <c r="C193" t="s">
        <v>8</v>
      </c>
      <c r="D193" t="s">
        <v>9</v>
      </c>
      <c r="E193" t="s">
        <v>11</v>
      </c>
      <c r="F193" s="3">
        <v>206.04000000000002</v>
      </c>
      <c r="G193" s="3">
        <v>1212</v>
      </c>
    </row>
    <row r="194" spans="1:7" x14ac:dyDescent="0.2">
      <c r="A194">
        <v>2013</v>
      </c>
      <c r="B194" t="s">
        <v>66</v>
      </c>
      <c r="C194" t="s">
        <v>8</v>
      </c>
      <c r="D194" t="s">
        <v>9</v>
      </c>
      <c r="E194" t="s">
        <v>12</v>
      </c>
      <c r="F194" s="3">
        <v>238.85000000000002</v>
      </c>
      <c r="G194" s="3">
        <v>1405</v>
      </c>
    </row>
    <row r="195" spans="1:7" x14ac:dyDescent="0.2">
      <c r="A195">
        <v>2014</v>
      </c>
      <c r="B195" t="s">
        <v>66</v>
      </c>
      <c r="C195" t="s">
        <v>8</v>
      </c>
      <c r="D195" t="s">
        <v>9</v>
      </c>
      <c r="E195" t="s">
        <v>13</v>
      </c>
      <c r="F195" s="3">
        <v>221.17000000000002</v>
      </c>
      <c r="G195" s="3">
        <v>1301</v>
      </c>
    </row>
    <row r="196" spans="1:7" x14ac:dyDescent="0.2">
      <c r="A196">
        <v>2015</v>
      </c>
      <c r="B196" t="s">
        <v>66</v>
      </c>
      <c r="C196" t="s">
        <v>8</v>
      </c>
      <c r="D196" t="s">
        <v>9</v>
      </c>
      <c r="E196" t="s">
        <v>14</v>
      </c>
      <c r="F196" s="3">
        <v>681.53000000000009</v>
      </c>
      <c r="G196" s="3">
        <v>4009</v>
      </c>
    </row>
    <row r="197" spans="1:7" x14ac:dyDescent="0.2">
      <c r="A197">
        <v>2016</v>
      </c>
      <c r="B197" t="s">
        <v>66</v>
      </c>
      <c r="C197" t="s">
        <v>8</v>
      </c>
      <c r="D197" t="s">
        <v>9</v>
      </c>
      <c r="E197" t="s">
        <v>15</v>
      </c>
      <c r="F197" s="3">
        <v>1449.0800000000002</v>
      </c>
      <c r="G197" s="3">
        <v>8524</v>
      </c>
    </row>
    <row r="198" spans="1:7" x14ac:dyDescent="0.2">
      <c r="A198">
        <v>2017</v>
      </c>
      <c r="B198" t="s">
        <v>66</v>
      </c>
      <c r="C198" t="s">
        <v>8</v>
      </c>
      <c r="D198" t="s">
        <v>9</v>
      </c>
      <c r="E198" t="s">
        <v>16</v>
      </c>
      <c r="F198" s="3">
        <v>1666.3400000000001</v>
      </c>
      <c r="G198" s="3">
        <v>9802</v>
      </c>
    </row>
    <row r="199" spans="1:7" x14ac:dyDescent="0.2">
      <c r="A199">
        <v>2018</v>
      </c>
      <c r="B199" t="s">
        <v>66</v>
      </c>
      <c r="C199" t="s">
        <v>8</v>
      </c>
      <c r="D199" t="s">
        <v>9</v>
      </c>
      <c r="E199" t="s">
        <v>17</v>
      </c>
      <c r="F199" s="3">
        <v>331.67</v>
      </c>
      <c r="G199" s="3">
        <v>1951</v>
      </c>
    </row>
    <row r="200" spans="1:7" x14ac:dyDescent="0.2">
      <c r="A200">
        <v>2019</v>
      </c>
      <c r="B200" t="s">
        <v>66</v>
      </c>
      <c r="C200" t="s">
        <v>8</v>
      </c>
      <c r="D200" t="s">
        <v>9</v>
      </c>
      <c r="E200" t="s">
        <v>18</v>
      </c>
      <c r="F200" s="3">
        <v>343.57000000000005</v>
      </c>
      <c r="G200" s="3">
        <v>2021</v>
      </c>
    </row>
    <row r="201" spans="1:7" x14ac:dyDescent="0.2">
      <c r="A201">
        <v>2020</v>
      </c>
      <c r="B201" t="s">
        <v>66</v>
      </c>
      <c r="C201" t="s">
        <v>8</v>
      </c>
      <c r="D201" t="s">
        <v>9</v>
      </c>
      <c r="E201" t="s">
        <v>19</v>
      </c>
      <c r="F201" s="3">
        <v>229.67000000000002</v>
      </c>
      <c r="G201" s="3">
        <v>1351</v>
      </c>
    </row>
    <row r="202" spans="1:7" x14ac:dyDescent="0.2">
      <c r="A202">
        <v>2011</v>
      </c>
      <c r="B202" t="s">
        <v>67</v>
      </c>
      <c r="C202" t="s">
        <v>68</v>
      </c>
      <c r="D202" t="s">
        <v>20</v>
      </c>
      <c r="E202" t="s">
        <v>69</v>
      </c>
      <c r="F202" s="3">
        <v>1838.7519466666668</v>
      </c>
      <c r="G202" s="3">
        <v>3917.2713333333336</v>
      </c>
    </row>
    <row r="203" spans="1:7" x14ac:dyDescent="0.2">
      <c r="A203">
        <v>2012</v>
      </c>
      <c r="B203" t="s">
        <v>67</v>
      </c>
      <c r="C203" t="s">
        <v>68</v>
      </c>
      <c r="D203" t="s">
        <v>20</v>
      </c>
      <c r="E203" t="s">
        <v>70</v>
      </c>
      <c r="F203" s="3">
        <v>2972.4133333333334</v>
      </c>
      <c r="G203" s="3">
        <v>6665.1666666666661</v>
      </c>
    </row>
    <row r="204" spans="1:7" x14ac:dyDescent="0.2">
      <c r="A204">
        <v>2013</v>
      </c>
      <c r="B204" t="s">
        <v>67</v>
      </c>
      <c r="C204" t="s">
        <v>68</v>
      </c>
      <c r="D204" t="s">
        <v>20</v>
      </c>
      <c r="E204" t="s">
        <v>71</v>
      </c>
      <c r="F204" s="3">
        <v>3132.5862800000004</v>
      </c>
      <c r="G204" s="3">
        <v>7165.9880000000003</v>
      </c>
    </row>
    <row r="205" spans="1:7" x14ac:dyDescent="0.2">
      <c r="A205">
        <v>2014</v>
      </c>
      <c r="B205" t="s">
        <v>67</v>
      </c>
      <c r="C205" t="s">
        <v>68</v>
      </c>
      <c r="D205" t="s">
        <v>20</v>
      </c>
      <c r="E205" t="s">
        <v>72</v>
      </c>
      <c r="F205" s="3">
        <v>1359.29483</v>
      </c>
      <c r="G205" s="3">
        <v>2880.1929999999998</v>
      </c>
    </row>
    <row r="206" spans="1:7" x14ac:dyDescent="0.2">
      <c r="A206">
        <v>2015</v>
      </c>
      <c r="B206" t="s">
        <v>67</v>
      </c>
      <c r="C206" t="s">
        <v>68</v>
      </c>
      <c r="D206" t="s">
        <v>20</v>
      </c>
      <c r="E206" t="s">
        <v>73</v>
      </c>
      <c r="F206" s="3">
        <v>1323.6477400000001</v>
      </c>
      <c r="G206" s="3">
        <v>2778.4659999999999</v>
      </c>
    </row>
    <row r="207" spans="1:7" x14ac:dyDescent="0.2">
      <c r="A207">
        <v>2016</v>
      </c>
      <c r="B207" t="s">
        <v>67</v>
      </c>
      <c r="C207" t="s">
        <v>68</v>
      </c>
      <c r="D207" t="s">
        <v>20</v>
      </c>
      <c r="E207" t="s">
        <v>74</v>
      </c>
      <c r="F207" s="3">
        <v>1713.9102933333334</v>
      </c>
      <c r="G207" s="3">
        <v>3289.3076666666666</v>
      </c>
    </row>
    <row r="208" spans="1:7" x14ac:dyDescent="0.2">
      <c r="A208">
        <v>2017</v>
      </c>
      <c r="B208" t="s">
        <v>67</v>
      </c>
      <c r="C208" t="s">
        <v>68</v>
      </c>
      <c r="D208" t="s">
        <v>20</v>
      </c>
      <c r="E208" t="s">
        <v>75</v>
      </c>
      <c r="F208" s="3">
        <v>3220.6760800000002</v>
      </c>
      <c r="G208" s="3">
        <v>6760.3680000000004</v>
      </c>
    </row>
    <row r="209" spans="1:7" x14ac:dyDescent="0.2">
      <c r="A209">
        <v>2018</v>
      </c>
      <c r="B209" t="s">
        <v>67</v>
      </c>
      <c r="C209" t="s">
        <v>68</v>
      </c>
      <c r="D209" t="s">
        <v>20</v>
      </c>
      <c r="E209" t="s">
        <v>76</v>
      </c>
      <c r="F209" s="3">
        <v>4080.8928533333333</v>
      </c>
      <c r="G209" s="3">
        <v>9106.3086666666677</v>
      </c>
    </row>
    <row r="210" spans="1:7" x14ac:dyDescent="0.2">
      <c r="A210">
        <v>2019</v>
      </c>
      <c r="B210" t="s">
        <v>67</v>
      </c>
      <c r="C210" t="s">
        <v>68</v>
      </c>
      <c r="D210" t="s">
        <v>20</v>
      </c>
      <c r="E210" t="s">
        <v>77</v>
      </c>
      <c r="F210" s="3">
        <v>4568.3302933333325</v>
      </c>
      <c r="G210" s="3">
        <v>9847.7526666666672</v>
      </c>
    </row>
    <row r="211" spans="1:7" x14ac:dyDescent="0.2">
      <c r="A211">
        <v>2020</v>
      </c>
      <c r="B211" t="s">
        <v>67</v>
      </c>
      <c r="C211" t="s">
        <v>68</v>
      </c>
      <c r="D211" t="s">
        <v>20</v>
      </c>
      <c r="E211" t="s">
        <v>78</v>
      </c>
      <c r="F211" s="3">
        <v>6183.6607999999997</v>
      </c>
      <c r="G211" s="3">
        <v>13639.18</v>
      </c>
    </row>
    <row r="212" spans="1:7" x14ac:dyDescent="0.2">
      <c r="A212">
        <v>2011</v>
      </c>
      <c r="B212" t="s">
        <v>67</v>
      </c>
      <c r="C212" t="s">
        <v>68</v>
      </c>
      <c r="D212" t="s">
        <v>31</v>
      </c>
      <c r="E212" t="s">
        <v>79</v>
      </c>
      <c r="F212" s="3">
        <v>913.65</v>
      </c>
      <c r="G212" s="3">
        <v>1139</v>
      </c>
    </row>
    <row r="213" spans="1:7" x14ac:dyDescent="0.2">
      <c r="A213">
        <v>2012</v>
      </c>
      <c r="B213" t="s">
        <v>67</v>
      </c>
      <c r="C213" t="s">
        <v>68</v>
      </c>
      <c r="D213" t="s">
        <v>31</v>
      </c>
      <c r="E213" t="s">
        <v>80</v>
      </c>
      <c r="F213" s="3">
        <v>485.95</v>
      </c>
      <c r="G213" s="3">
        <v>523</v>
      </c>
    </row>
    <row r="214" spans="1:7" x14ac:dyDescent="0.2">
      <c r="A214">
        <v>2013</v>
      </c>
      <c r="B214" t="s">
        <v>67</v>
      </c>
      <c r="C214" t="s">
        <v>68</v>
      </c>
      <c r="D214" t="s">
        <v>31</v>
      </c>
      <c r="E214" t="s">
        <v>81</v>
      </c>
      <c r="F214" s="3">
        <v>499.68</v>
      </c>
      <c r="G214" s="3">
        <v>611</v>
      </c>
    </row>
    <row r="215" spans="1:7" x14ac:dyDescent="0.2">
      <c r="A215">
        <v>2014</v>
      </c>
      <c r="B215" t="s">
        <v>67</v>
      </c>
      <c r="C215" t="s">
        <v>68</v>
      </c>
      <c r="D215" t="s">
        <v>31</v>
      </c>
      <c r="E215" t="s">
        <v>82</v>
      </c>
      <c r="F215" s="3">
        <v>673.27</v>
      </c>
      <c r="G215" s="3">
        <v>715</v>
      </c>
    </row>
    <row r="216" spans="1:7" x14ac:dyDescent="0.2">
      <c r="A216">
        <v>2015</v>
      </c>
      <c r="B216" t="s">
        <v>67</v>
      </c>
      <c r="C216" t="s">
        <v>68</v>
      </c>
      <c r="D216" t="s">
        <v>31</v>
      </c>
      <c r="E216" t="s">
        <v>83</v>
      </c>
      <c r="F216" s="3">
        <v>1009.88</v>
      </c>
      <c r="G216" s="3">
        <v>1081</v>
      </c>
    </row>
    <row r="217" spans="1:7" x14ac:dyDescent="0.2">
      <c r="A217">
        <v>2016</v>
      </c>
      <c r="B217" t="s">
        <v>67</v>
      </c>
      <c r="C217" t="s">
        <v>68</v>
      </c>
      <c r="D217" t="s">
        <v>31</v>
      </c>
      <c r="E217" t="s">
        <v>84</v>
      </c>
      <c r="F217" s="3">
        <v>557.27</v>
      </c>
      <c r="G217" s="3">
        <v>558</v>
      </c>
    </row>
    <row r="218" spans="1:7" x14ac:dyDescent="0.2">
      <c r="A218">
        <v>2017</v>
      </c>
      <c r="B218" t="s">
        <v>67</v>
      </c>
      <c r="C218" t="s">
        <v>68</v>
      </c>
      <c r="D218" t="s">
        <v>31</v>
      </c>
      <c r="E218" t="s">
        <v>85</v>
      </c>
      <c r="F218" s="3">
        <v>585.88</v>
      </c>
      <c r="G218" s="3">
        <v>624</v>
      </c>
    </row>
    <row r="219" spans="1:7" x14ac:dyDescent="0.2">
      <c r="A219">
        <v>2018</v>
      </c>
      <c r="B219" t="s">
        <v>67</v>
      </c>
      <c r="C219" t="s">
        <v>68</v>
      </c>
      <c r="D219" t="s">
        <v>31</v>
      </c>
      <c r="E219" t="s">
        <v>86</v>
      </c>
      <c r="F219" s="3">
        <v>449.18999999999994</v>
      </c>
      <c r="G219" s="3">
        <v>519</v>
      </c>
    </row>
    <row r="220" spans="1:7" x14ac:dyDescent="0.2">
      <c r="A220">
        <v>2019</v>
      </c>
      <c r="B220" t="s">
        <v>67</v>
      </c>
      <c r="C220" t="s">
        <v>68</v>
      </c>
      <c r="D220" t="s">
        <v>31</v>
      </c>
      <c r="E220" t="s">
        <v>87</v>
      </c>
      <c r="F220" s="3">
        <v>805.30090999999993</v>
      </c>
      <c r="G220" s="3">
        <v>837.25099999999998</v>
      </c>
    </row>
    <row r="221" spans="1:7" x14ac:dyDescent="0.2">
      <c r="A221">
        <v>2020</v>
      </c>
      <c r="B221" t="s">
        <v>67</v>
      </c>
      <c r="C221" t="s">
        <v>68</v>
      </c>
      <c r="D221" t="s">
        <v>31</v>
      </c>
      <c r="E221" t="s">
        <v>88</v>
      </c>
      <c r="F221" s="3">
        <v>507.07732499999997</v>
      </c>
      <c r="G221" s="3">
        <v>586.20249999999999</v>
      </c>
    </row>
    <row r="222" spans="1:7" x14ac:dyDescent="0.2">
      <c r="A222">
        <v>2011</v>
      </c>
      <c r="B222" t="s">
        <v>67</v>
      </c>
      <c r="C222" t="s">
        <v>68</v>
      </c>
      <c r="D222" t="s">
        <v>42</v>
      </c>
      <c r="E222" t="s">
        <v>89</v>
      </c>
      <c r="F222" s="3">
        <v>12.6435</v>
      </c>
      <c r="G222" s="3">
        <v>14.048333333333332</v>
      </c>
    </row>
    <row r="223" spans="1:7" x14ac:dyDescent="0.2">
      <c r="A223">
        <v>2012</v>
      </c>
      <c r="B223" t="s">
        <v>67</v>
      </c>
      <c r="C223" t="s">
        <v>68</v>
      </c>
      <c r="D223" t="s">
        <v>42</v>
      </c>
      <c r="E223" t="s">
        <v>90</v>
      </c>
      <c r="F223" s="3">
        <v>0</v>
      </c>
      <c r="G223" s="3">
        <v>0</v>
      </c>
    </row>
    <row r="224" spans="1:7" x14ac:dyDescent="0.2">
      <c r="A224">
        <v>2013</v>
      </c>
      <c r="B224" t="s">
        <v>67</v>
      </c>
      <c r="C224" t="s">
        <v>68</v>
      </c>
      <c r="D224" t="s">
        <v>42</v>
      </c>
      <c r="E224" t="s">
        <v>91</v>
      </c>
      <c r="F224" s="3">
        <v>0</v>
      </c>
      <c r="G224" s="3">
        <v>0</v>
      </c>
    </row>
    <row r="225" spans="1:7" x14ac:dyDescent="0.2">
      <c r="A225">
        <v>2014</v>
      </c>
      <c r="B225" t="s">
        <v>67</v>
      </c>
      <c r="C225" t="s">
        <v>68</v>
      </c>
      <c r="D225" t="s">
        <v>42</v>
      </c>
      <c r="E225" t="s">
        <v>92</v>
      </c>
      <c r="F225" s="3">
        <v>0.80099999999999993</v>
      </c>
      <c r="G225" s="3">
        <v>0.8899999999999999</v>
      </c>
    </row>
    <row r="226" spans="1:7" x14ac:dyDescent="0.2">
      <c r="A226">
        <v>2015</v>
      </c>
      <c r="B226" t="s">
        <v>67</v>
      </c>
      <c r="C226" t="s">
        <v>68</v>
      </c>
      <c r="D226" t="s">
        <v>42</v>
      </c>
      <c r="E226" t="s">
        <v>93</v>
      </c>
      <c r="F226" s="3">
        <v>0</v>
      </c>
      <c r="G226" s="3">
        <v>0</v>
      </c>
    </row>
    <row r="227" spans="1:7" x14ac:dyDescent="0.2">
      <c r="A227">
        <v>2016</v>
      </c>
      <c r="B227" t="s">
        <v>67</v>
      </c>
      <c r="C227" t="s">
        <v>68</v>
      </c>
      <c r="D227" t="s">
        <v>42</v>
      </c>
      <c r="E227" t="s">
        <v>94</v>
      </c>
      <c r="F227" s="3">
        <v>0</v>
      </c>
      <c r="G227" s="3">
        <v>0</v>
      </c>
    </row>
    <row r="228" spans="1:7" x14ac:dyDescent="0.2">
      <c r="A228">
        <v>2017</v>
      </c>
      <c r="B228" t="s">
        <v>67</v>
      </c>
      <c r="C228" t="s">
        <v>68</v>
      </c>
      <c r="D228" t="s">
        <v>42</v>
      </c>
      <c r="E228" t="s">
        <v>95</v>
      </c>
      <c r="F228" s="3">
        <v>0.44</v>
      </c>
      <c r="G228" s="3">
        <v>11</v>
      </c>
    </row>
    <row r="229" spans="1:7" x14ac:dyDescent="0.2">
      <c r="A229">
        <v>2018</v>
      </c>
      <c r="B229" t="s">
        <v>67</v>
      </c>
      <c r="C229" t="s">
        <v>68</v>
      </c>
      <c r="D229" t="s">
        <v>42</v>
      </c>
      <c r="E229" t="s">
        <v>96</v>
      </c>
      <c r="F229" s="3">
        <v>6.1989000000000001</v>
      </c>
      <c r="G229" s="3">
        <v>12.620999999999999</v>
      </c>
    </row>
    <row r="230" spans="1:7" x14ac:dyDescent="0.2">
      <c r="A230">
        <v>2019</v>
      </c>
      <c r="B230" t="s">
        <v>67</v>
      </c>
      <c r="C230" t="s">
        <v>68</v>
      </c>
      <c r="D230" t="s">
        <v>42</v>
      </c>
      <c r="E230" t="s">
        <v>97</v>
      </c>
      <c r="F230" s="3">
        <v>1.9813000000000001</v>
      </c>
      <c r="G230" s="3">
        <v>3.157</v>
      </c>
    </row>
    <row r="231" spans="1:7" x14ac:dyDescent="0.2">
      <c r="A231">
        <v>2020</v>
      </c>
      <c r="B231" t="s">
        <v>67</v>
      </c>
      <c r="C231" t="s">
        <v>68</v>
      </c>
      <c r="D231" t="s">
        <v>42</v>
      </c>
      <c r="E231" t="s">
        <v>98</v>
      </c>
      <c r="F231" s="3">
        <v>22.125299999999999</v>
      </c>
      <c r="G231" s="3">
        <v>24.583666666666666</v>
      </c>
    </row>
    <row r="232" spans="1:7" x14ac:dyDescent="0.2">
      <c r="A232">
        <v>2011</v>
      </c>
      <c r="B232" t="s">
        <v>67</v>
      </c>
      <c r="C232" t="s">
        <v>68</v>
      </c>
      <c r="D232" t="s">
        <v>53</v>
      </c>
      <c r="E232" t="s">
        <v>99</v>
      </c>
      <c r="F232" s="3">
        <v>28.539733333333334</v>
      </c>
      <c r="G232" s="3">
        <v>35.674666666666667</v>
      </c>
    </row>
    <row r="233" spans="1:7" x14ac:dyDescent="0.2">
      <c r="A233">
        <v>2012</v>
      </c>
      <c r="B233" t="s">
        <v>67</v>
      </c>
      <c r="C233" t="s">
        <v>68</v>
      </c>
      <c r="D233" t="s">
        <v>53</v>
      </c>
      <c r="E233" t="s">
        <v>100</v>
      </c>
      <c r="F233" s="3">
        <v>20.125600000000002</v>
      </c>
      <c r="G233" s="3">
        <v>25.157</v>
      </c>
    </row>
    <row r="234" spans="1:7" x14ac:dyDescent="0.2">
      <c r="A234">
        <v>2013</v>
      </c>
      <c r="B234" t="s">
        <v>67</v>
      </c>
      <c r="C234" t="s">
        <v>68</v>
      </c>
      <c r="D234" t="s">
        <v>53</v>
      </c>
      <c r="E234" t="s">
        <v>101</v>
      </c>
      <c r="F234" s="3">
        <v>119.072</v>
      </c>
      <c r="G234" s="3">
        <v>148.84</v>
      </c>
    </row>
    <row r="235" spans="1:7" x14ac:dyDescent="0.2">
      <c r="A235">
        <v>2014</v>
      </c>
      <c r="B235" t="s">
        <v>67</v>
      </c>
      <c r="C235" t="s">
        <v>68</v>
      </c>
      <c r="D235" t="s">
        <v>53</v>
      </c>
      <c r="E235" t="s">
        <v>102</v>
      </c>
      <c r="F235" s="3">
        <v>0</v>
      </c>
      <c r="G235" s="3">
        <v>0</v>
      </c>
    </row>
    <row r="236" spans="1:7" x14ac:dyDescent="0.2">
      <c r="A236">
        <v>2015</v>
      </c>
      <c r="B236" t="s">
        <v>67</v>
      </c>
      <c r="C236" t="s">
        <v>68</v>
      </c>
      <c r="D236" t="s">
        <v>53</v>
      </c>
      <c r="E236" t="s">
        <v>103</v>
      </c>
      <c r="F236" s="3">
        <v>8.4391999999999996</v>
      </c>
      <c r="G236" s="3">
        <v>10.548999999999999</v>
      </c>
    </row>
    <row r="237" spans="1:7" x14ac:dyDescent="0.2">
      <c r="A237">
        <v>2016</v>
      </c>
      <c r="B237" t="s">
        <v>67</v>
      </c>
      <c r="C237" t="s">
        <v>68</v>
      </c>
      <c r="D237" t="s">
        <v>53</v>
      </c>
      <c r="E237" t="s">
        <v>104</v>
      </c>
      <c r="F237" s="3">
        <v>0</v>
      </c>
      <c r="G237" s="3">
        <v>0</v>
      </c>
    </row>
    <row r="238" spans="1:7" x14ac:dyDescent="0.2">
      <c r="A238">
        <v>2017</v>
      </c>
      <c r="B238" t="s">
        <v>67</v>
      </c>
      <c r="C238" t="s">
        <v>68</v>
      </c>
      <c r="D238" t="s">
        <v>53</v>
      </c>
      <c r="E238" t="s">
        <v>105</v>
      </c>
      <c r="F238" s="3">
        <v>2.6840000000000002</v>
      </c>
      <c r="G238" s="3">
        <v>3.355</v>
      </c>
    </row>
    <row r="239" spans="1:7" x14ac:dyDescent="0.2">
      <c r="A239">
        <v>2018</v>
      </c>
      <c r="B239" t="s">
        <v>67</v>
      </c>
      <c r="C239" t="s">
        <v>68</v>
      </c>
      <c r="D239" t="s">
        <v>53</v>
      </c>
      <c r="E239" t="s">
        <v>106</v>
      </c>
      <c r="F239" s="3">
        <v>19.738666666666667</v>
      </c>
      <c r="G239" s="3">
        <v>24.673333333333328</v>
      </c>
    </row>
    <row r="240" spans="1:7" x14ac:dyDescent="0.2">
      <c r="A240">
        <v>2019</v>
      </c>
      <c r="B240" t="s">
        <v>67</v>
      </c>
      <c r="C240" t="s">
        <v>68</v>
      </c>
      <c r="D240" t="s">
        <v>53</v>
      </c>
      <c r="E240" t="s">
        <v>107</v>
      </c>
      <c r="F240" s="3">
        <v>12.019200000000001</v>
      </c>
      <c r="G240" s="3">
        <v>15.024000000000001</v>
      </c>
    </row>
    <row r="241" spans="1:7" x14ac:dyDescent="0.2">
      <c r="A241">
        <v>2020</v>
      </c>
      <c r="B241" t="s">
        <v>67</v>
      </c>
      <c r="C241" t="s">
        <v>68</v>
      </c>
      <c r="D241" t="s">
        <v>53</v>
      </c>
      <c r="E241" t="s">
        <v>108</v>
      </c>
      <c r="F241" s="3">
        <v>15.807200000000003</v>
      </c>
      <c r="G241" s="3">
        <v>19.759</v>
      </c>
    </row>
    <row r="242" spans="1:7" x14ac:dyDescent="0.2">
      <c r="A242">
        <v>2011</v>
      </c>
      <c r="B242" t="s">
        <v>67</v>
      </c>
      <c r="C242" t="s">
        <v>68</v>
      </c>
      <c r="D242" t="s">
        <v>9</v>
      </c>
      <c r="E242" t="s">
        <v>109</v>
      </c>
      <c r="F242" s="3">
        <v>0</v>
      </c>
      <c r="G242" s="3">
        <v>0</v>
      </c>
    </row>
    <row r="243" spans="1:7" x14ac:dyDescent="0.2">
      <c r="A243">
        <v>2012</v>
      </c>
      <c r="B243" t="s">
        <v>67</v>
      </c>
      <c r="C243" t="s">
        <v>68</v>
      </c>
      <c r="D243" t="s">
        <v>9</v>
      </c>
      <c r="E243" t="s">
        <v>110</v>
      </c>
      <c r="F243" s="3">
        <v>0</v>
      </c>
      <c r="G243" s="3">
        <v>0</v>
      </c>
    </row>
    <row r="244" spans="1:7" x14ac:dyDescent="0.2">
      <c r="A244">
        <v>2013</v>
      </c>
      <c r="B244" t="s">
        <v>67</v>
      </c>
      <c r="C244" t="s">
        <v>68</v>
      </c>
      <c r="D244" t="s">
        <v>9</v>
      </c>
      <c r="E244" t="s">
        <v>111</v>
      </c>
      <c r="F244" s="3">
        <v>0</v>
      </c>
      <c r="G244" s="3">
        <v>0</v>
      </c>
    </row>
    <row r="245" spans="1:7" x14ac:dyDescent="0.2">
      <c r="A245">
        <v>2014</v>
      </c>
      <c r="B245" t="s">
        <v>67</v>
      </c>
      <c r="C245" t="s">
        <v>68</v>
      </c>
      <c r="D245" t="s">
        <v>9</v>
      </c>
      <c r="E245" t="s">
        <v>112</v>
      </c>
      <c r="F245" s="3">
        <v>0</v>
      </c>
      <c r="G245" s="3">
        <v>0</v>
      </c>
    </row>
    <row r="246" spans="1:7" x14ac:dyDescent="0.2">
      <c r="A246">
        <v>2015</v>
      </c>
      <c r="B246" t="s">
        <v>67</v>
      </c>
      <c r="C246" t="s">
        <v>68</v>
      </c>
      <c r="D246" t="s">
        <v>9</v>
      </c>
      <c r="E246" t="s">
        <v>113</v>
      </c>
      <c r="F246" s="3">
        <v>0</v>
      </c>
      <c r="G246" s="3">
        <v>0</v>
      </c>
    </row>
    <row r="247" spans="1:7" x14ac:dyDescent="0.2">
      <c r="A247">
        <v>2016</v>
      </c>
      <c r="B247" t="s">
        <v>67</v>
      </c>
      <c r="C247" t="s">
        <v>68</v>
      </c>
      <c r="D247" t="s">
        <v>9</v>
      </c>
      <c r="E247" t="s">
        <v>114</v>
      </c>
      <c r="F247" s="3">
        <v>0.17</v>
      </c>
      <c r="G247" s="3">
        <v>1</v>
      </c>
    </row>
    <row r="248" spans="1:7" x14ac:dyDescent="0.2">
      <c r="A248">
        <v>2017</v>
      </c>
      <c r="B248" t="s">
        <v>67</v>
      </c>
      <c r="C248" t="s">
        <v>68</v>
      </c>
      <c r="D248" t="s">
        <v>9</v>
      </c>
      <c r="E248" t="s">
        <v>115</v>
      </c>
      <c r="F248" s="3">
        <v>0.34</v>
      </c>
      <c r="G248" s="3">
        <v>2</v>
      </c>
    </row>
    <row r="249" spans="1:7" x14ac:dyDescent="0.2">
      <c r="A249">
        <v>2018</v>
      </c>
      <c r="B249" t="s">
        <v>67</v>
      </c>
      <c r="C249" t="s">
        <v>68</v>
      </c>
      <c r="D249" t="s">
        <v>9</v>
      </c>
      <c r="E249" t="s">
        <v>116</v>
      </c>
      <c r="F249" s="3">
        <v>0</v>
      </c>
      <c r="G249" s="3">
        <v>0</v>
      </c>
    </row>
    <row r="250" spans="1:7" x14ac:dyDescent="0.2">
      <c r="A250">
        <v>2019</v>
      </c>
      <c r="B250" t="s">
        <v>67</v>
      </c>
      <c r="C250" t="s">
        <v>68</v>
      </c>
      <c r="D250" t="s">
        <v>9</v>
      </c>
      <c r="E250" t="s">
        <v>117</v>
      </c>
      <c r="F250" s="3">
        <v>1.87</v>
      </c>
      <c r="G250" s="3">
        <v>11</v>
      </c>
    </row>
    <row r="251" spans="1:7" x14ac:dyDescent="0.2">
      <c r="A251">
        <v>2020</v>
      </c>
      <c r="B251" t="s">
        <v>67</v>
      </c>
      <c r="C251" t="s">
        <v>68</v>
      </c>
      <c r="D251" t="s">
        <v>9</v>
      </c>
      <c r="E251" t="s">
        <v>118</v>
      </c>
      <c r="F251" s="3">
        <v>0</v>
      </c>
      <c r="G251" s="3">
        <v>0</v>
      </c>
    </row>
    <row r="252" spans="1:7" x14ac:dyDescent="0.2">
      <c r="A252">
        <v>2011</v>
      </c>
      <c r="B252" t="s">
        <v>67</v>
      </c>
      <c r="C252" t="s">
        <v>119</v>
      </c>
      <c r="D252" t="s">
        <v>20</v>
      </c>
      <c r="E252" t="s">
        <v>120</v>
      </c>
      <c r="F252" s="3">
        <v>274260.15000000002</v>
      </c>
      <c r="G252" s="3">
        <v>537765</v>
      </c>
    </row>
    <row r="253" spans="1:7" x14ac:dyDescent="0.2">
      <c r="A253">
        <v>2012</v>
      </c>
      <c r="B253" t="s">
        <v>67</v>
      </c>
      <c r="C253" t="s">
        <v>119</v>
      </c>
      <c r="D253" t="s">
        <v>20</v>
      </c>
      <c r="E253" t="s">
        <v>121</v>
      </c>
      <c r="F253" s="3">
        <v>268765.92</v>
      </c>
      <c r="G253" s="3">
        <v>526992</v>
      </c>
    </row>
    <row r="254" spans="1:7" x14ac:dyDescent="0.2">
      <c r="A254">
        <v>2013</v>
      </c>
      <c r="B254" t="s">
        <v>67</v>
      </c>
      <c r="C254" t="s">
        <v>119</v>
      </c>
      <c r="D254" t="s">
        <v>20</v>
      </c>
      <c r="E254" t="s">
        <v>122</v>
      </c>
      <c r="F254" s="3">
        <v>177083.22</v>
      </c>
      <c r="G254" s="3">
        <v>347222</v>
      </c>
    </row>
    <row r="255" spans="1:7" x14ac:dyDescent="0.2">
      <c r="A255">
        <v>2014</v>
      </c>
      <c r="B255" t="s">
        <v>67</v>
      </c>
      <c r="C255" t="s">
        <v>119</v>
      </c>
      <c r="D255" t="s">
        <v>20</v>
      </c>
      <c r="E255" t="s">
        <v>123</v>
      </c>
      <c r="F255" s="3">
        <v>193709.73</v>
      </c>
      <c r="G255" s="3">
        <v>379823</v>
      </c>
    </row>
    <row r="256" spans="1:7" x14ac:dyDescent="0.2">
      <c r="A256">
        <v>2015</v>
      </c>
      <c r="B256" t="s">
        <v>67</v>
      </c>
      <c r="C256" t="s">
        <v>119</v>
      </c>
      <c r="D256" t="s">
        <v>20</v>
      </c>
      <c r="E256" t="s">
        <v>124</v>
      </c>
      <c r="F256" s="3">
        <v>192541.32</v>
      </c>
      <c r="G256" s="3">
        <v>377532</v>
      </c>
    </row>
    <row r="257" spans="1:7" x14ac:dyDescent="0.2">
      <c r="A257">
        <v>2016</v>
      </c>
      <c r="B257" t="s">
        <v>67</v>
      </c>
      <c r="C257" t="s">
        <v>119</v>
      </c>
      <c r="D257" t="s">
        <v>20</v>
      </c>
      <c r="E257" t="s">
        <v>125</v>
      </c>
      <c r="F257" s="3">
        <v>132119.07</v>
      </c>
      <c r="G257" s="3">
        <v>259057</v>
      </c>
    </row>
    <row r="258" spans="1:7" x14ac:dyDescent="0.2">
      <c r="A258">
        <v>2017</v>
      </c>
      <c r="B258" t="s">
        <v>67</v>
      </c>
      <c r="C258" t="s">
        <v>119</v>
      </c>
      <c r="D258" t="s">
        <v>20</v>
      </c>
      <c r="E258" t="s">
        <v>126</v>
      </c>
      <c r="F258" s="3">
        <v>151494.99</v>
      </c>
      <c r="G258" s="3">
        <v>297049</v>
      </c>
    </row>
    <row r="259" spans="1:7" x14ac:dyDescent="0.2">
      <c r="A259">
        <v>2018</v>
      </c>
      <c r="B259" t="s">
        <v>67</v>
      </c>
      <c r="C259" t="s">
        <v>119</v>
      </c>
      <c r="D259" t="s">
        <v>20</v>
      </c>
      <c r="E259" t="s">
        <v>127</v>
      </c>
      <c r="F259" s="3">
        <v>84164.28</v>
      </c>
      <c r="G259" s="3">
        <v>165028</v>
      </c>
    </row>
    <row r="260" spans="1:7" x14ac:dyDescent="0.2">
      <c r="A260">
        <v>2019</v>
      </c>
      <c r="B260" t="s">
        <v>67</v>
      </c>
      <c r="C260" t="s">
        <v>119</v>
      </c>
      <c r="D260" t="s">
        <v>20</v>
      </c>
      <c r="E260" t="s">
        <v>128</v>
      </c>
      <c r="F260" s="3">
        <v>169018.08000000002</v>
      </c>
      <c r="G260" s="3">
        <v>331408</v>
      </c>
    </row>
    <row r="261" spans="1:7" x14ac:dyDescent="0.2">
      <c r="A261">
        <v>2020</v>
      </c>
      <c r="B261" t="s">
        <v>67</v>
      </c>
      <c r="C261" t="s">
        <v>119</v>
      </c>
      <c r="D261" t="s">
        <v>20</v>
      </c>
      <c r="E261" t="s">
        <v>129</v>
      </c>
      <c r="F261" s="3">
        <v>131510.64000000001</v>
      </c>
      <c r="G261" s="3">
        <v>257864</v>
      </c>
    </row>
    <row r="262" spans="1:7" x14ac:dyDescent="0.2">
      <c r="A262">
        <v>2011</v>
      </c>
      <c r="B262" t="s">
        <v>67</v>
      </c>
      <c r="C262" t="s">
        <v>119</v>
      </c>
      <c r="D262" t="s">
        <v>31</v>
      </c>
      <c r="E262" t="s">
        <v>130</v>
      </c>
      <c r="F262" s="3">
        <v>1043.9000000000001</v>
      </c>
      <c r="G262" s="3">
        <v>4745</v>
      </c>
    </row>
    <row r="263" spans="1:7" x14ac:dyDescent="0.2">
      <c r="A263">
        <v>2012</v>
      </c>
      <c r="B263" t="s">
        <v>67</v>
      </c>
      <c r="C263" t="s">
        <v>119</v>
      </c>
      <c r="D263" t="s">
        <v>31</v>
      </c>
      <c r="E263" t="s">
        <v>131</v>
      </c>
      <c r="F263" s="3">
        <v>881.76</v>
      </c>
      <c r="G263" s="3">
        <v>4008</v>
      </c>
    </row>
    <row r="264" spans="1:7" x14ac:dyDescent="0.2">
      <c r="A264">
        <v>2013</v>
      </c>
      <c r="B264" t="s">
        <v>67</v>
      </c>
      <c r="C264" t="s">
        <v>119</v>
      </c>
      <c r="D264" t="s">
        <v>31</v>
      </c>
      <c r="E264" t="s">
        <v>132</v>
      </c>
      <c r="F264" s="3">
        <v>697.18</v>
      </c>
      <c r="G264" s="3">
        <v>3169</v>
      </c>
    </row>
    <row r="265" spans="1:7" x14ac:dyDescent="0.2">
      <c r="A265">
        <v>2014</v>
      </c>
      <c r="B265" t="s">
        <v>67</v>
      </c>
      <c r="C265" t="s">
        <v>119</v>
      </c>
      <c r="D265" t="s">
        <v>31</v>
      </c>
      <c r="E265" t="s">
        <v>133</v>
      </c>
      <c r="F265" s="3">
        <v>1036.2</v>
      </c>
      <c r="G265" s="3">
        <v>4710</v>
      </c>
    </row>
    <row r="266" spans="1:7" x14ac:dyDescent="0.2">
      <c r="A266">
        <v>2015</v>
      </c>
      <c r="B266" t="s">
        <v>67</v>
      </c>
      <c r="C266" t="s">
        <v>119</v>
      </c>
      <c r="D266" t="s">
        <v>31</v>
      </c>
      <c r="E266" t="s">
        <v>134</v>
      </c>
      <c r="F266" s="3">
        <v>913</v>
      </c>
      <c r="G266" s="3">
        <v>4150</v>
      </c>
    </row>
    <row r="267" spans="1:7" x14ac:dyDescent="0.2">
      <c r="A267">
        <v>2016</v>
      </c>
      <c r="B267" t="s">
        <v>67</v>
      </c>
      <c r="C267" t="s">
        <v>119</v>
      </c>
      <c r="D267" t="s">
        <v>31</v>
      </c>
      <c r="E267" t="s">
        <v>135</v>
      </c>
      <c r="F267" s="3">
        <v>720.94</v>
      </c>
      <c r="G267" s="3">
        <v>3277</v>
      </c>
    </row>
    <row r="268" spans="1:7" x14ac:dyDescent="0.2">
      <c r="A268">
        <v>2017</v>
      </c>
      <c r="B268" t="s">
        <v>67</v>
      </c>
      <c r="C268" t="s">
        <v>119</v>
      </c>
      <c r="D268" t="s">
        <v>31</v>
      </c>
      <c r="E268" t="s">
        <v>136</v>
      </c>
      <c r="F268" s="3">
        <v>161.04</v>
      </c>
      <c r="G268" s="3">
        <v>732</v>
      </c>
    </row>
    <row r="269" spans="1:7" x14ac:dyDescent="0.2">
      <c r="A269">
        <v>2018</v>
      </c>
      <c r="B269" t="s">
        <v>67</v>
      </c>
      <c r="C269" t="s">
        <v>119</v>
      </c>
      <c r="D269" t="s">
        <v>31</v>
      </c>
      <c r="E269" t="s">
        <v>137</v>
      </c>
      <c r="F269" s="3">
        <v>116.38</v>
      </c>
      <c r="G269" s="3">
        <v>529</v>
      </c>
    </row>
    <row r="270" spans="1:7" x14ac:dyDescent="0.2">
      <c r="A270">
        <v>2019</v>
      </c>
      <c r="B270" t="s">
        <v>67</v>
      </c>
      <c r="C270" t="s">
        <v>119</v>
      </c>
      <c r="D270" t="s">
        <v>31</v>
      </c>
      <c r="E270" t="s">
        <v>138</v>
      </c>
      <c r="F270" s="3">
        <v>214.94</v>
      </c>
      <c r="G270" s="3">
        <v>977</v>
      </c>
    </row>
    <row r="271" spans="1:7" x14ac:dyDescent="0.2">
      <c r="A271">
        <v>2020</v>
      </c>
      <c r="B271" t="s">
        <v>67</v>
      </c>
      <c r="C271" t="s">
        <v>119</v>
      </c>
      <c r="D271" t="s">
        <v>31</v>
      </c>
      <c r="E271" t="s">
        <v>139</v>
      </c>
      <c r="F271" s="3">
        <v>225.06</v>
      </c>
      <c r="G271" s="3">
        <v>1023</v>
      </c>
    </row>
    <row r="272" spans="1:7" x14ac:dyDescent="0.2">
      <c r="A272">
        <v>2011</v>
      </c>
      <c r="B272" t="s">
        <v>67</v>
      </c>
      <c r="C272" t="s">
        <v>119</v>
      </c>
      <c r="D272" t="s">
        <v>42</v>
      </c>
      <c r="E272" t="s">
        <v>140</v>
      </c>
      <c r="F272" s="3">
        <v>156.56</v>
      </c>
      <c r="G272" s="3">
        <v>3914</v>
      </c>
    </row>
    <row r="273" spans="1:7" x14ac:dyDescent="0.2">
      <c r="A273">
        <v>2012</v>
      </c>
      <c r="B273" t="s">
        <v>67</v>
      </c>
      <c r="C273" t="s">
        <v>119</v>
      </c>
      <c r="D273" t="s">
        <v>42</v>
      </c>
      <c r="E273" t="s">
        <v>141</v>
      </c>
      <c r="F273" s="3">
        <v>150.80000000000001</v>
      </c>
      <c r="G273" s="3">
        <v>3770</v>
      </c>
    </row>
    <row r="274" spans="1:7" x14ac:dyDescent="0.2">
      <c r="A274">
        <v>2013</v>
      </c>
      <c r="B274" t="s">
        <v>67</v>
      </c>
      <c r="C274" t="s">
        <v>119</v>
      </c>
      <c r="D274" t="s">
        <v>42</v>
      </c>
      <c r="E274" t="s">
        <v>142</v>
      </c>
      <c r="F274" s="3">
        <v>145</v>
      </c>
      <c r="G274" s="3">
        <v>3625</v>
      </c>
    </row>
    <row r="275" spans="1:7" x14ac:dyDescent="0.2">
      <c r="A275">
        <v>2014</v>
      </c>
      <c r="B275" t="s">
        <v>67</v>
      </c>
      <c r="C275" t="s">
        <v>119</v>
      </c>
      <c r="D275" t="s">
        <v>42</v>
      </c>
      <c r="E275" t="s">
        <v>143</v>
      </c>
      <c r="F275" s="3">
        <v>765.6</v>
      </c>
      <c r="G275" s="3">
        <v>19140</v>
      </c>
    </row>
    <row r="276" spans="1:7" x14ac:dyDescent="0.2">
      <c r="A276">
        <v>2015</v>
      </c>
      <c r="B276" t="s">
        <v>67</v>
      </c>
      <c r="C276" t="s">
        <v>119</v>
      </c>
      <c r="D276" t="s">
        <v>42</v>
      </c>
      <c r="E276" t="s">
        <v>144</v>
      </c>
      <c r="F276" s="3">
        <v>165.88</v>
      </c>
      <c r="G276" s="3">
        <v>4147</v>
      </c>
    </row>
    <row r="277" spans="1:7" x14ac:dyDescent="0.2">
      <c r="A277">
        <v>2016</v>
      </c>
      <c r="B277" t="s">
        <v>67</v>
      </c>
      <c r="C277" t="s">
        <v>119</v>
      </c>
      <c r="D277" t="s">
        <v>42</v>
      </c>
      <c r="E277" t="s">
        <v>145</v>
      </c>
      <c r="F277" s="3">
        <v>313.36</v>
      </c>
      <c r="G277" s="3">
        <v>7834</v>
      </c>
    </row>
    <row r="278" spans="1:7" x14ac:dyDescent="0.2">
      <c r="A278">
        <v>2017</v>
      </c>
      <c r="B278" t="s">
        <v>67</v>
      </c>
      <c r="C278" t="s">
        <v>119</v>
      </c>
      <c r="D278" t="s">
        <v>42</v>
      </c>
      <c r="E278" t="s">
        <v>146</v>
      </c>
      <c r="F278" s="3">
        <v>318.48</v>
      </c>
      <c r="G278" s="3">
        <v>7962</v>
      </c>
    </row>
    <row r="279" spans="1:7" x14ac:dyDescent="0.2">
      <c r="A279">
        <v>2018</v>
      </c>
      <c r="B279" t="s">
        <v>67</v>
      </c>
      <c r="C279" t="s">
        <v>119</v>
      </c>
      <c r="D279" t="s">
        <v>42</v>
      </c>
      <c r="E279" t="s">
        <v>147</v>
      </c>
      <c r="F279" s="3">
        <v>417.40000000000003</v>
      </c>
      <c r="G279" s="3">
        <v>10435</v>
      </c>
    </row>
    <row r="280" spans="1:7" x14ac:dyDescent="0.2">
      <c r="A280">
        <v>2019</v>
      </c>
      <c r="B280" t="s">
        <v>67</v>
      </c>
      <c r="C280" t="s">
        <v>119</v>
      </c>
      <c r="D280" t="s">
        <v>42</v>
      </c>
      <c r="E280" t="s">
        <v>148</v>
      </c>
      <c r="F280" s="3">
        <v>185.24</v>
      </c>
      <c r="G280" s="3">
        <v>4631</v>
      </c>
    </row>
    <row r="281" spans="1:7" x14ac:dyDescent="0.2">
      <c r="A281">
        <v>2020</v>
      </c>
      <c r="B281" t="s">
        <v>67</v>
      </c>
      <c r="C281" t="s">
        <v>119</v>
      </c>
      <c r="D281" t="s">
        <v>42</v>
      </c>
      <c r="E281" t="s">
        <v>149</v>
      </c>
      <c r="F281" s="3">
        <v>544.88</v>
      </c>
      <c r="G281" s="3">
        <v>13622</v>
      </c>
    </row>
    <row r="282" spans="1:7" x14ac:dyDescent="0.2">
      <c r="A282">
        <v>2011</v>
      </c>
      <c r="B282" t="s">
        <v>67</v>
      </c>
      <c r="C282" t="s">
        <v>119</v>
      </c>
      <c r="D282" t="s">
        <v>53</v>
      </c>
      <c r="E282" t="s">
        <v>150</v>
      </c>
      <c r="F282" s="3">
        <v>0</v>
      </c>
      <c r="G282" s="3">
        <v>0</v>
      </c>
    </row>
    <row r="283" spans="1:7" x14ac:dyDescent="0.2">
      <c r="A283">
        <v>2012</v>
      </c>
      <c r="B283" t="s">
        <v>67</v>
      </c>
      <c r="C283" t="s">
        <v>119</v>
      </c>
      <c r="D283" t="s">
        <v>53</v>
      </c>
      <c r="E283" t="s">
        <v>151</v>
      </c>
      <c r="F283" s="3">
        <v>0</v>
      </c>
      <c r="G283" s="3">
        <v>0</v>
      </c>
    </row>
    <row r="284" spans="1:7" x14ac:dyDescent="0.2">
      <c r="A284">
        <v>2013</v>
      </c>
      <c r="B284" t="s">
        <v>67</v>
      </c>
      <c r="C284" t="s">
        <v>119</v>
      </c>
      <c r="D284" t="s">
        <v>53</v>
      </c>
      <c r="E284" t="s">
        <v>152</v>
      </c>
      <c r="F284" s="3">
        <v>0</v>
      </c>
      <c r="G284" s="3">
        <v>0</v>
      </c>
    </row>
    <row r="285" spans="1:7" x14ac:dyDescent="0.2">
      <c r="A285">
        <v>2014</v>
      </c>
      <c r="B285" t="s">
        <v>67</v>
      </c>
      <c r="C285" t="s">
        <v>119</v>
      </c>
      <c r="D285" t="s">
        <v>53</v>
      </c>
      <c r="E285" t="s">
        <v>153</v>
      </c>
      <c r="F285" s="3">
        <v>0</v>
      </c>
      <c r="G285" s="3">
        <v>0</v>
      </c>
    </row>
    <row r="286" spans="1:7" x14ac:dyDescent="0.2">
      <c r="A286">
        <v>2015</v>
      </c>
      <c r="B286" t="s">
        <v>67</v>
      </c>
      <c r="C286" t="s">
        <v>119</v>
      </c>
      <c r="D286" t="s">
        <v>53</v>
      </c>
      <c r="E286" t="s">
        <v>154</v>
      </c>
      <c r="F286" s="3">
        <v>0</v>
      </c>
      <c r="G286" s="3">
        <v>0</v>
      </c>
    </row>
    <row r="287" spans="1:7" x14ac:dyDescent="0.2">
      <c r="A287">
        <v>2016</v>
      </c>
      <c r="B287" t="s">
        <v>67</v>
      </c>
      <c r="C287" t="s">
        <v>119</v>
      </c>
      <c r="D287" t="s">
        <v>53</v>
      </c>
      <c r="E287" t="s">
        <v>155</v>
      </c>
      <c r="F287" s="3">
        <v>0</v>
      </c>
      <c r="G287" s="3">
        <v>0</v>
      </c>
    </row>
    <row r="288" spans="1:7" x14ac:dyDescent="0.2">
      <c r="A288">
        <v>2017</v>
      </c>
      <c r="B288" t="s">
        <v>67</v>
      </c>
      <c r="C288" t="s">
        <v>119</v>
      </c>
      <c r="D288" t="s">
        <v>53</v>
      </c>
      <c r="E288" t="s">
        <v>156</v>
      </c>
      <c r="F288" s="3">
        <v>0</v>
      </c>
      <c r="G288" s="3">
        <v>0</v>
      </c>
    </row>
    <row r="289" spans="1:7" x14ac:dyDescent="0.2">
      <c r="A289">
        <v>2018</v>
      </c>
      <c r="B289" t="s">
        <v>67</v>
      </c>
      <c r="C289" t="s">
        <v>119</v>
      </c>
      <c r="D289" t="s">
        <v>53</v>
      </c>
      <c r="E289" t="s">
        <v>157</v>
      </c>
      <c r="F289" s="3">
        <v>0</v>
      </c>
      <c r="G289" s="3">
        <v>0</v>
      </c>
    </row>
    <row r="290" spans="1:7" x14ac:dyDescent="0.2">
      <c r="A290">
        <v>2019</v>
      </c>
      <c r="B290" t="s">
        <v>67</v>
      </c>
      <c r="C290" t="s">
        <v>119</v>
      </c>
      <c r="D290" t="s">
        <v>53</v>
      </c>
      <c r="E290" t="s">
        <v>158</v>
      </c>
      <c r="F290" s="3">
        <v>0</v>
      </c>
      <c r="G290" s="3">
        <v>0</v>
      </c>
    </row>
    <row r="291" spans="1:7" x14ac:dyDescent="0.2">
      <c r="A291">
        <v>2020</v>
      </c>
      <c r="B291" t="s">
        <v>67</v>
      </c>
      <c r="C291" t="s">
        <v>119</v>
      </c>
      <c r="D291" t="s">
        <v>53</v>
      </c>
      <c r="E291" t="s">
        <v>159</v>
      </c>
      <c r="F291" s="3">
        <v>0</v>
      </c>
      <c r="G291" s="3">
        <v>0</v>
      </c>
    </row>
    <row r="292" spans="1:7" x14ac:dyDescent="0.2">
      <c r="A292">
        <v>2011</v>
      </c>
      <c r="B292" t="s">
        <v>67</v>
      </c>
      <c r="C292" t="s">
        <v>119</v>
      </c>
      <c r="D292" t="s">
        <v>9</v>
      </c>
      <c r="E292" t="s">
        <v>160</v>
      </c>
      <c r="F292" s="3">
        <v>211.31</v>
      </c>
      <c r="G292" s="3">
        <v>1243</v>
      </c>
    </row>
    <row r="293" spans="1:7" x14ac:dyDescent="0.2">
      <c r="A293">
        <v>2012</v>
      </c>
      <c r="B293" t="s">
        <v>67</v>
      </c>
      <c r="C293" t="s">
        <v>119</v>
      </c>
      <c r="D293" t="s">
        <v>9</v>
      </c>
      <c r="E293" t="s">
        <v>161</v>
      </c>
      <c r="F293" s="3">
        <v>6.8000000000000007</v>
      </c>
      <c r="G293" s="3">
        <v>40</v>
      </c>
    </row>
    <row r="294" spans="1:7" x14ac:dyDescent="0.2">
      <c r="A294">
        <v>2013</v>
      </c>
      <c r="B294" t="s">
        <v>67</v>
      </c>
      <c r="C294" t="s">
        <v>119</v>
      </c>
      <c r="D294" t="s">
        <v>9</v>
      </c>
      <c r="E294" t="s">
        <v>162</v>
      </c>
      <c r="F294" s="3">
        <v>1.87</v>
      </c>
      <c r="G294" s="3">
        <v>11</v>
      </c>
    </row>
    <row r="295" spans="1:7" x14ac:dyDescent="0.2">
      <c r="A295">
        <v>2014</v>
      </c>
      <c r="B295" t="s">
        <v>67</v>
      </c>
      <c r="C295" t="s">
        <v>119</v>
      </c>
      <c r="D295" t="s">
        <v>9</v>
      </c>
      <c r="E295" t="s">
        <v>163</v>
      </c>
      <c r="F295" s="3">
        <v>0</v>
      </c>
      <c r="G295" s="3">
        <v>0</v>
      </c>
    </row>
    <row r="296" spans="1:7" x14ac:dyDescent="0.2">
      <c r="A296">
        <v>2015</v>
      </c>
      <c r="B296" t="s">
        <v>67</v>
      </c>
      <c r="C296" t="s">
        <v>119</v>
      </c>
      <c r="D296" t="s">
        <v>9</v>
      </c>
      <c r="E296" t="s">
        <v>164</v>
      </c>
      <c r="F296" s="3">
        <v>11.22</v>
      </c>
      <c r="G296" s="3">
        <v>66</v>
      </c>
    </row>
    <row r="297" spans="1:7" x14ac:dyDescent="0.2">
      <c r="A297">
        <v>2016</v>
      </c>
      <c r="B297" t="s">
        <v>67</v>
      </c>
      <c r="C297" t="s">
        <v>119</v>
      </c>
      <c r="D297" t="s">
        <v>9</v>
      </c>
      <c r="E297" t="s">
        <v>165</v>
      </c>
      <c r="F297" s="3">
        <v>108.46000000000001</v>
      </c>
      <c r="G297" s="3">
        <v>638</v>
      </c>
    </row>
    <row r="298" spans="1:7" x14ac:dyDescent="0.2">
      <c r="A298">
        <v>2017</v>
      </c>
      <c r="B298" t="s">
        <v>67</v>
      </c>
      <c r="C298" t="s">
        <v>119</v>
      </c>
      <c r="D298" t="s">
        <v>9</v>
      </c>
      <c r="E298" t="s">
        <v>166</v>
      </c>
      <c r="F298" s="3">
        <v>202.98000000000002</v>
      </c>
      <c r="G298" s="3">
        <v>1194</v>
      </c>
    </row>
    <row r="299" spans="1:7" x14ac:dyDescent="0.2">
      <c r="A299">
        <v>2018</v>
      </c>
      <c r="B299" t="s">
        <v>67</v>
      </c>
      <c r="C299" t="s">
        <v>119</v>
      </c>
      <c r="D299" t="s">
        <v>9</v>
      </c>
      <c r="E299" t="s">
        <v>167</v>
      </c>
      <c r="F299" s="3">
        <v>1.1900000000000002</v>
      </c>
      <c r="G299" s="3">
        <v>7</v>
      </c>
    </row>
    <row r="300" spans="1:7" x14ac:dyDescent="0.2">
      <c r="A300">
        <v>2019</v>
      </c>
      <c r="B300" t="s">
        <v>67</v>
      </c>
      <c r="C300" t="s">
        <v>119</v>
      </c>
      <c r="D300" t="s">
        <v>9</v>
      </c>
      <c r="E300" t="s">
        <v>168</v>
      </c>
      <c r="F300" s="3">
        <v>5.1000000000000005</v>
      </c>
      <c r="G300" s="3">
        <v>30</v>
      </c>
    </row>
    <row r="301" spans="1:7" x14ac:dyDescent="0.2">
      <c r="A301">
        <v>2020</v>
      </c>
      <c r="B301" t="s">
        <v>67</v>
      </c>
      <c r="C301" t="s">
        <v>119</v>
      </c>
      <c r="D301" t="s">
        <v>9</v>
      </c>
      <c r="E301" t="s">
        <v>169</v>
      </c>
      <c r="F301" s="3">
        <v>3.91</v>
      </c>
      <c r="G301" s="3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BEA1-F067-4633-A12A-E7269E7C0974}">
  <dimension ref="A1:K151"/>
  <sheetViews>
    <sheetView zoomScale="130" zoomScaleNormal="130" workbookViewId="0">
      <selection activeCell="F1" sqref="F1:F140"/>
    </sheetView>
  </sheetViews>
  <sheetFormatPr baseColWidth="10" defaultColWidth="8.83203125" defaultRowHeight="15" x14ac:dyDescent="0.2"/>
  <cols>
    <col min="1" max="1" width="4.5" bestFit="1" customWidth="1"/>
    <col min="2" max="2" width="5.5" bestFit="1" customWidth="1"/>
    <col min="3" max="3" width="11.5" bestFit="1" customWidth="1"/>
    <col min="4" max="4" width="8.33203125" bestFit="1" customWidth="1"/>
    <col min="5" max="5" width="25" bestFit="1" customWidth="1"/>
    <col min="6" max="6" width="12.5" bestFit="1" customWidth="1"/>
    <col min="7" max="7" width="19.1640625" bestFit="1" customWidth="1"/>
    <col min="8" max="8" width="31.83203125" bestFit="1" customWidth="1"/>
    <col min="9" max="9" width="26.5" bestFit="1" customWidth="1"/>
    <col min="10" max="10" width="22.83203125" style="3" bestFit="1" customWidth="1"/>
    <col min="11" max="11" width="17.5" style="3" bestFit="1" customWidth="1"/>
    <col min="13" max="13" width="12.5" bestFit="1" customWidth="1"/>
    <col min="14" max="15" width="13.1640625" bestFit="1" customWidth="1"/>
    <col min="16" max="16" width="13.5" bestFit="1" customWidth="1"/>
    <col min="17" max="17" width="13.1640625" bestFit="1" customWidth="1"/>
  </cols>
  <sheetData>
    <row r="1" spans="1:11" x14ac:dyDescent="0.2">
      <c r="A1" s="1" t="s">
        <v>170</v>
      </c>
      <c r="B1" s="1" t="s">
        <v>0</v>
      </c>
      <c r="C1" s="1" t="s">
        <v>2</v>
      </c>
      <c r="D1" s="1" t="s">
        <v>3</v>
      </c>
      <c r="E1" s="1" t="s">
        <v>6</v>
      </c>
      <c r="F1" s="1" t="s">
        <v>171</v>
      </c>
      <c r="G1" s="1" t="s">
        <v>172</v>
      </c>
      <c r="H1" s="1" t="s">
        <v>173</v>
      </c>
      <c r="I1" s="1" t="s">
        <v>174</v>
      </c>
      <c r="J1" s="2" t="s">
        <v>176</v>
      </c>
      <c r="K1" s="2" t="s">
        <v>177</v>
      </c>
    </row>
    <row r="2" spans="1:11" x14ac:dyDescent="0.2">
      <c r="A2">
        <v>1</v>
      </c>
      <c r="B2">
        <v>2011</v>
      </c>
      <c r="C2" t="s">
        <v>119</v>
      </c>
      <c r="D2" t="s">
        <v>9</v>
      </c>
      <c r="E2" t="s">
        <v>178</v>
      </c>
      <c r="F2">
        <v>54</v>
      </c>
      <c r="G2">
        <v>0.92592592592592604</v>
      </c>
      <c r="H2">
        <v>26.6359994518</v>
      </c>
      <c r="I2">
        <v>1</v>
      </c>
      <c r="J2" s="3">
        <v>2.0269630035703701</v>
      </c>
      <c r="K2" s="3">
        <v>3.92592592592593</v>
      </c>
    </row>
    <row r="3" spans="1:11" x14ac:dyDescent="0.2">
      <c r="A3">
        <v>4</v>
      </c>
      <c r="B3">
        <v>2012</v>
      </c>
      <c r="C3" t="s">
        <v>119</v>
      </c>
      <c r="D3" t="s">
        <v>9</v>
      </c>
      <c r="E3" t="s">
        <v>179</v>
      </c>
      <c r="F3">
        <v>39</v>
      </c>
      <c r="G3">
        <v>0.92307692307692302</v>
      </c>
      <c r="H3">
        <v>17.922480718799999</v>
      </c>
      <c r="I3">
        <v>0</v>
      </c>
      <c r="J3" s="3">
        <v>1.6213476370153801</v>
      </c>
      <c r="K3" s="3">
        <v>3</v>
      </c>
    </row>
    <row r="4" spans="1:11" x14ac:dyDescent="0.2">
      <c r="A4">
        <v>7</v>
      </c>
      <c r="B4">
        <v>2013</v>
      </c>
      <c r="C4" t="s">
        <v>119</v>
      </c>
      <c r="D4" t="s">
        <v>9</v>
      </c>
      <c r="E4" t="s">
        <v>180</v>
      </c>
      <c r="F4">
        <v>36</v>
      </c>
      <c r="G4">
        <v>0</v>
      </c>
      <c r="H4">
        <v>17.754868285600001</v>
      </c>
      <c r="I4">
        <v>7</v>
      </c>
      <c r="J4" s="3">
        <v>18.245131714399999</v>
      </c>
      <c r="K4" s="3">
        <v>29</v>
      </c>
    </row>
    <row r="5" spans="1:11" x14ac:dyDescent="0.2">
      <c r="A5">
        <v>10</v>
      </c>
      <c r="B5">
        <v>2014</v>
      </c>
      <c r="C5" t="s">
        <v>119</v>
      </c>
      <c r="D5" t="s">
        <v>9</v>
      </c>
      <c r="E5" t="s">
        <v>181</v>
      </c>
      <c r="F5">
        <v>43</v>
      </c>
      <c r="G5">
        <v>0</v>
      </c>
      <c r="H5">
        <v>26.875351457800001</v>
      </c>
      <c r="I5">
        <v>16</v>
      </c>
      <c r="J5" s="3">
        <v>16.124648542199999</v>
      </c>
      <c r="K5" s="3">
        <v>27</v>
      </c>
    </row>
    <row r="6" spans="1:11" x14ac:dyDescent="0.2">
      <c r="A6">
        <v>13</v>
      </c>
      <c r="B6">
        <v>2015</v>
      </c>
      <c r="C6" t="s">
        <v>119</v>
      </c>
      <c r="D6" t="s">
        <v>9</v>
      </c>
      <c r="E6" t="s">
        <v>182</v>
      </c>
      <c r="F6">
        <v>42</v>
      </c>
      <c r="G6">
        <v>0</v>
      </c>
      <c r="H6">
        <v>16.783616091399999</v>
      </c>
      <c r="I6">
        <v>1</v>
      </c>
      <c r="J6" s="3">
        <v>25.216383908600001</v>
      </c>
      <c r="K6" s="3">
        <v>41</v>
      </c>
    </row>
    <row r="7" spans="1:11" x14ac:dyDescent="0.2">
      <c r="A7">
        <v>16</v>
      </c>
      <c r="B7">
        <v>2016</v>
      </c>
      <c r="C7" t="s">
        <v>119</v>
      </c>
      <c r="D7" t="s">
        <v>9</v>
      </c>
      <c r="E7" t="s">
        <v>183</v>
      </c>
      <c r="F7">
        <v>57</v>
      </c>
      <c r="G7">
        <v>0</v>
      </c>
      <c r="H7">
        <v>29.455229427199999</v>
      </c>
      <c r="I7">
        <v>0</v>
      </c>
      <c r="J7" s="3">
        <v>27.544770572800001</v>
      </c>
      <c r="K7" s="3">
        <v>57</v>
      </c>
    </row>
    <row r="8" spans="1:11" x14ac:dyDescent="0.2">
      <c r="A8">
        <v>19</v>
      </c>
      <c r="B8">
        <v>2017</v>
      </c>
      <c r="C8" t="s">
        <v>119</v>
      </c>
      <c r="D8" t="s">
        <v>9</v>
      </c>
      <c r="E8" t="s">
        <v>184</v>
      </c>
      <c r="F8">
        <v>2</v>
      </c>
      <c r="G8">
        <v>0</v>
      </c>
      <c r="H8">
        <v>0.88870755540000002</v>
      </c>
      <c r="I8">
        <v>0</v>
      </c>
      <c r="J8" s="3">
        <v>1.1112924446000001</v>
      </c>
      <c r="K8" s="3">
        <v>2</v>
      </c>
    </row>
    <row r="9" spans="1:11" x14ac:dyDescent="0.2">
      <c r="A9">
        <v>22</v>
      </c>
      <c r="B9">
        <v>2018</v>
      </c>
      <c r="C9" t="s">
        <v>119</v>
      </c>
      <c r="D9" t="s">
        <v>9</v>
      </c>
      <c r="E9" t="s">
        <v>185</v>
      </c>
      <c r="F9">
        <v>51</v>
      </c>
      <c r="G9">
        <v>0</v>
      </c>
      <c r="H9">
        <v>42.963800841699999</v>
      </c>
      <c r="I9">
        <v>27</v>
      </c>
      <c r="J9" s="3">
        <v>8.0361991583000005</v>
      </c>
      <c r="K9" s="3">
        <v>24</v>
      </c>
    </row>
    <row r="10" spans="1:11" x14ac:dyDescent="0.2">
      <c r="A10">
        <v>25</v>
      </c>
      <c r="B10">
        <v>2019</v>
      </c>
      <c r="C10" t="s">
        <v>119</v>
      </c>
      <c r="D10" t="s">
        <v>9</v>
      </c>
      <c r="E10" t="s">
        <v>186</v>
      </c>
      <c r="F10">
        <v>91</v>
      </c>
      <c r="G10">
        <v>0</v>
      </c>
      <c r="H10">
        <v>73.680983784999995</v>
      </c>
      <c r="I10">
        <v>2</v>
      </c>
      <c r="J10" s="3">
        <v>17.319016215000001</v>
      </c>
      <c r="K10" s="3">
        <v>89</v>
      </c>
    </row>
    <row r="11" spans="1:11" x14ac:dyDescent="0.2">
      <c r="A11">
        <v>28</v>
      </c>
      <c r="B11">
        <v>2020</v>
      </c>
      <c r="C11" t="s">
        <v>119</v>
      </c>
      <c r="D11" t="s">
        <v>9</v>
      </c>
      <c r="E11" t="s">
        <v>187</v>
      </c>
      <c r="F11">
        <v>35</v>
      </c>
      <c r="G11">
        <v>0</v>
      </c>
      <c r="H11">
        <v>22.5322876585</v>
      </c>
      <c r="I11">
        <v>7.7</v>
      </c>
      <c r="J11" s="3">
        <v>12.4677123415</v>
      </c>
      <c r="K11" s="3">
        <v>27.3</v>
      </c>
    </row>
    <row r="12" spans="1:11" x14ac:dyDescent="0.2">
      <c r="A12">
        <v>31</v>
      </c>
      <c r="B12">
        <v>2011</v>
      </c>
      <c r="C12" t="s">
        <v>119</v>
      </c>
      <c r="D12" t="s">
        <v>53</v>
      </c>
      <c r="E12" t="s">
        <v>208</v>
      </c>
      <c r="F12">
        <v>278</v>
      </c>
      <c r="G12">
        <v>0</v>
      </c>
      <c r="H12">
        <v>14.129626160200001</v>
      </c>
      <c r="I12">
        <v>0</v>
      </c>
      <c r="J12" s="3">
        <v>263.87037383979998</v>
      </c>
      <c r="K12" s="3">
        <v>278</v>
      </c>
    </row>
    <row r="13" spans="1:11" x14ac:dyDescent="0.2">
      <c r="A13">
        <v>34</v>
      </c>
      <c r="B13">
        <v>2012</v>
      </c>
      <c r="C13" t="s">
        <v>119</v>
      </c>
      <c r="D13" t="s">
        <v>53</v>
      </c>
      <c r="E13" t="s">
        <v>209</v>
      </c>
      <c r="F13">
        <v>310</v>
      </c>
      <c r="G13">
        <v>0</v>
      </c>
      <c r="H13">
        <v>14.3793119018</v>
      </c>
      <c r="I13">
        <v>0</v>
      </c>
      <c r="J13" s="3">
        <v>295.62068809819999</v>
      </c>
      <c r="K13" s="3">
        <v>310</v>
      </c>
    </row>
    <row r="14" spans="1:11" x14ac:dyDescent="0.2">
      <c r="A14">
        <v>37</v>
      </c>
      <c r="B14">
        <v>2013</v>
      </c>
      <c r="C14" t="s">
        <v>119</v>
      </c>
      <c r="D14" t="s">
        <v>53</v>
      </c>
      <c r="E14" t="s">
        <v>210</v>
      </c>
      <c r="F14">
        <v>370</v>
      </c>
      <c r="G14">
        <v>0</v>
      </c>
      <c r="H14">
        <v>25.522047356000002</v>
      </c>
      <c r="I14">
        <v>0</v>
      </c>
      <c r="J14" s="3">
        <v>344.47795264400003</v>
      </c>
      <c r="K14" s="3">
        <v>370</v>
      </c>
    </row>
    <row r="15" spans="1:11" x14ac:dyDescent="0.2">
      <c r="A15">
        <v>40</v>
      </c>
      <c r="B15">
        <v>2014</v>
      </c>
      <c r="C15" t="s">
        <v>119</v>
      </c>
      <c r="D15" t="s">
        <v>53</v>
      </c>
      <c r="E15" t="s">
        <v>211</v>
      </c>
      <c r="F15">
        <v>247</v>
      </c>
      <c r="G15">
        <v>0</v>
      </c>
      <c r="H15">
        <v>50.535866095000003</v>
      </c>
      <c r="I15">
        <v>38</v>
      </c>
      <c r="J15" s="3">
        <v>196.46413390500001</v>
      </c>
      <c r="K15" s="3">
        <v>209</v>
      </c>
    </row>
    <row r="16" spans="1:11" x14ac:dyDescent="0.2">
      <c r="A16">
        <v>43</v>
      </c>
      <c r="B16">
        <v>2015</v>
      </c>
      <c r="C16" t="s">
        <v>119</v>
      </c>
      <c r="D16" t="s">
        <v>53</v>
      </c>
      <c r="E16" t="s">
        <v>212</v>
      </c>
      <c r="F16">
        <v>286</v>
      </c>
      <c r="G16">
        <v>0</v>
      </c>
      <c r="H16">
        <v>7.1080009642999897</v>
      </c>
      <c r="I16">
        <v>0</v>
      </c>
      <c r="J16" s="3">
        <v>278.8919990357</v>
      </c>
      <c r="K16" s="3">
        <v>286</v>
      </c>
    </row>
    <row r="17" spans="1:11" x14ac:dyDescent="0.2">
      <c r="A17">
        <v>46</v>
      </c>
      <c r="B17">
        <v>2016</v>
      </c>
      <c r="C17" t="s">
        <v>119</v>
      </c>
      <c r="D17" t="s">
        <v>53</v>
      </c>
      <c r="E17" t="s">
        <v>213</v>
      </c>
      <c r="F17">
        <v>433</v>
      </c>
      <c r="G17">
        <v>0</v>
      </c>
      <c r="H17">
        <v>18.131537563999998</v>
      </c>
      <c r="I17">
        <v>0</v>
      </c>
      <c r="J17" s="3">
        <v>414.86846243600002</v>
      </c>
      <c r="K17" s="3">
        <v>433</v>
      </c>
    </row>
    <row r="18" spans="1:11" x14ac:dyDescent="0.2">
      <c r="A18">
        <v>49</v>
      </c>
      <c r="B18">
        <v>2017</v>
      </c>
      <c r="C18" t="s">
        <v>119</v>
      </c>
      <c r="D18" t="s">
        <v>53</v>
      </c>
      <c r="E18" t="s">
        <v>214</v>
      </c>
      <c r="F18">
        <v>185</v>
      </c>
      <c r="G18">
        <v>0</v>
      </c>
      <c r="H18">
        <v>15.835680111</v>
      </c>
      <c r="I18">
        <v>0</v>
      </c>
      <c r="J18" s="3">
        <v>169.16431988900001</v>
      </c>
      <c r="K18" s="3">
        <v>185</v>
      </c>
    </row>
    <row r="19" spans="1:11" x14ac:dyDescent="0.2">
      <c r="A19">
        <v>52</v>
      </c>
      <c r="B19">
        <v>2018</v>
      </c>
      <c r="C19" t="s">
        <v>119</v>
      </c>
      <c r="D19" t="s">
        <v>53</v>
      </c>
      <c r="E19" t="s">
        <v>215</v>
      </c>
      <c r="F19">
        <v>955</v>
      </c>
      <c r="G19">
        <v>0</v>
      </c>
      <c r="H19">
        <v>378.1026578657</v>
      </c>
      <c r="I19">
        <v>4</v>
      </c>
      <c r="J19" s="3">
        <v>576.89734213429995</v>
      </c>
      <c r="K19" s="3">
        <v>951</v>
      </c>
    </row>
    <row r="20" spans="1:11" x14ac:dyDescent="0.2">
      <c r="A20">
        <v>55</v>
      </c>
      <c r="B20">
        <v>2019</v>
      </c>
      <c r="C20" t="s">
        <v>119</v>
      </c>
      <c r="D20" t="s">
        <v>53</v>
      </c>
      <c r="E20" t="s">
        <v>216</v>
      </c>
      <c r="F20">
        <v>150</v>
      </c>
      <c r="G20">
        <v>0</v>
      </c>
      <c r="H20">
        <v>29.167690853900002</v>
      </c>
      <c r="I20">
        <v>0.37</v>
      </c>
      <c r="J20" s="3">
        <v>120.8323091461</v>
      </c>
      <c r="K20" s="3">
        <v>149.63</v>
      </c>
    </row>
    <row r="21" spans="1:11" x14ac:dyDescent="0.2">
      <c r="A21">
        <v>58</v>
      </c>
      <c r="B21">
        <v>2020</v>
      </c>
      <c r="C21" t="s">
        <v>119</v>
      </c>
      <c r="D21" t="s">
        <v>53</v>
      </c>
      <c r="E21" t="s">
        <v>217</v>
      </c>
      <c r="F21">
        <v>97</v>
      </c>
      <c r="G21">
        <v>0.95</v>
      </c>
      <c r="H21">
        <v>9.0585893118000005</v>
      </c>
      <c r="I21">
        <v>0.37</v>
      </c>
      <c r="J21" s="3">
        <v>4.3970705344100001</v>
      </c>
      <c r="K21" s="3">
        <v>4.8315000000000001</v>
      </c>
    </row>
    <row r="22" spans="1:11" x14ac:dyDescent="0.2">
      <c r="A22">
        <v>61</v>
      </c>
      <c r="B22">
        <v>2011</v>
      </c>
      <c r="C22" t="s">
        <v>119</v>
      </c>
      <c r="D22" t="s">
        <v>31</v>
      </c>
      <c r="E22" t="s">
        <v>238</v>
      </c>
      <c r="F22">
        <v>482</v>
      </c>
      <c r="G22">
        <v>0.51867219917012497</v>
      </c>
      <c r="H22">
        <v>336.3085191134</v>
      </c>
      <c r="I22">
        <v>217</v>
      </c>
      <c r="J22" s="3">
        <v>70.125360094794999</v>
      </c>
      <c r="K22" s="3">
        <v>127.551867219917</v>
      </c>
    </row>
    <row r="23" spans="1:11" x14ac:dyDescent="0.2">
      <c r="A23">
        <v>64</v>
      </c>
      <c r="B23">
        <v>2012</v>
      </c>
      <c r="C23" t="s">
        <v>119</v>
      </c>
      <c r="D23" t="s">
        <v>31</v>
      </c>
      <c r="E23" t="s">
        <v>239</v>
      </c>
      <c r="F23">
        <v>528</v>
      </c>
      <c r="G23">
        <v>0.24053030303030301</v>
      </c>
      <c r="H23">
        <v>444.2585943464</v>
      </c>
      <c r="I23">
        <v>375</v>
      </c>
      <c r="J23" s="3">
        <v>63.599059975556102</v>
      </c>
      <c r="K23" s="3">
        <v>116.198863636364</v>
      </c>
    </row>
    <row r="24" spans="1:11" x14ac:dyDescent="0.2">
      <c r="A24">
        <v>67</v>
      </c>
      <c r="B24">
        <v>2013</v>
      </c>
      <c r="C24" t="s">
        <v>119</v>
      </c>
      <c r="D24" t="s">
        <v>31</v>
      </c>
      <c r="E24" t="s">
        <v>240</v>
      </c>
      <c r="F24">
        <v>776</v>
      </c>
      <c r="G24">
        <v>0</v>
      </c>
      <c r="H24">
        <v>594.41871082119997</v>
      </c>
      <c r="I24">
        <v>467</v>
      </c>
      <c r="J24" s="3">
        <v>181.58128917880001</v>
      </c>
      <c r="K24" s="3">
        <v>309</v>
      </c>
    </row>
    <row r="25" spans="1:11" x14ac:dyDescent="0.2">
      <c r="A25">
        <v>70</v>
      </c>
      <c r="B25">
        <v>2014</v>
      </c>
      <c r="C25" t="s">
        <v>119</v>
      </c>
      <c r="D25" t="s">
        <v>31</v>
      </c>
      <c r="E25" t="s">
        <v>241</v>
      </c>
      <c r="F25">
        <v>664</v>
      </c>
      <c r="G25">
        <v>0.188253012048193</v>
      </c>
      <c r="H25">
        <v>537.97432059959999</v>
      </c>
      <c r="I25">
        <v>421</v>
      </c>
      <c r="J25" s="3">
        <v>102.300965657855</v>
      </c>
      <c r="K25" s="3">
        <v>197.25451807228899</v>
      </c>
    </row>
    <row r="26" spans="1:11" x14ac:dyDescent="0.2">
      <c r="A26">
        <v>73</v>
      </c>
      <c r="B26">
        <v>2015</v>
      </c>
      <c r="C26" t="s">
        <v>119</v>
      </c>
      <c r="D26" t="s">
        <v>31</v>
      </c>
      <c r="E26" t="s">
        <v>242</v>
      </c>
      <c r="F26">
        <v>421</v>
      </c>
      <c r="G26">
        <v>0</v>
      </c>
      <c r="H26">
        <v>269.64351810289998</v>
      </c>
      <c r="I26">
        <v>136</v>
      </c>
      <c r="J26" s="3">
        <v>151.3564818971</v>
      </c>
      <c r="K26" s="3">
        <v>285</v>
      </c>
    </row>
    <row r="27" spans="1:11" x14ac:dyDescent="0.2">
      <c r="A27">
        <v>76</v>
      </c>
      <c r="B27">
        <v>2016</v>
      </c>
      <c r="C27" t="s">
        <v>119</v>
      </c>
      <c r="D27" t="s">
        <v>31</v>
      </c>
      <c r="E27" t="s">
        <v>243</v>
      </c>
      <c r="F27">
        <v>586</v>
      </c>
      <c r="G27">
        <v>0</v>
      </c>
      <c r="H27">
        <v>480.64505427059999</v>
      </c>
      <c r="I27">
        <v>393</v>
      </c>
      <c r="J27" s="3">
        <v>105.3549457294</v>
      </c>
      <c r="K27" s="3">
        <v>193</v>
      </c>
    </row>
    <row r="28" spans="1:11" x14ac:dyDescent="0.2">
      <c r="A28">
        <v>79</v>
      </c>
      <c r="B28">
        <v>2017</v>
      </c>
      <c r="C28" t="s">
        <v>119</v>
      </c>
      <c r="D28" t="s">
        <v>31</v>
      </c>
      <c r="E28" t="s">
        <v>244</v>
      </c>
      <c r="F28">
        <v>287</v>
      </c>
      <c r="G28">
        <v>0.95</v>
      </c>
      <c r="H28">
        <v>190.63110665510001</v>
      </c>
      <c r="I28">
        <v>97</v>
      </c>
      <c r="J28" s="3">
        <v>4.8184446672450001</v>
      </c>
      <c r="K28" s="3">
        <v>9.5000000000000107</v>
      </c>
    </row>
    <row r="29" spans="1:11" x14ac:dyDescent="0.2">
      <c r="A29">
        <v>82</v>
      </c>
      <c r="B29">
        <v>2018</v>
      </c>
      <c r="C29" t="s">
        <v>119</v>
      </c>
      <c r="D29" t="s">
        <v>31</v>
      </c>
      <c r="E29" t="s">
        <v>245</v>
      </c>
      <c r="F29">
        <v>336</v>
      </c>
      <c r="G29">
        <v>0</v>
      </c>
      <c r="H29">
        <v>164.64403347019999</v>
      </c>
      <c r="I29">
        <v>33</v>
      </c>
      <c r="J29" s="3">
        <v>171.35596652980001</v>
      </c>
      <c r="K29" s="3">
        <v>303</v>
      </c>
    </row>
    <row r="30" spans="1:11" x14ac:dyDescent="0.2">
      <c r="A30">
        <v>85</v>
      </c>
      <c r="B30">
        <v>2019</v>
      </c>
      <c r="C30" t="s">
        <v>119</v>
      </c>
      <c r="D30" t="s">
        <v>31</v>
      </c>
      <c r="E30" t="s">
        <v>246</v>
      </c>
      <c r="F30">
        <v>766</v>
      </c>
      <c r="G30">
        <v>0.11227154046997399</v>
      </c>
      <c r="H30">
        <v>428.65964181499999</v>
      </c>
      <c r="I30">
        <v>265.79000000000002</v>
      </c>
      <c r="J30" s="3">
        <v>299.466636508877</v>
      </c>
      <c r="K30" s="3">
        <v>444.050652741514</v>
      </c>
    </row>
    <row r="31" spans="1:11" x14ac:dyDescent="0.2">
      <c r="A31">
        <v>88</v>
      </c>
      <c r="B31">
        <v>2020</v>
      </c>
      <c r="C31" t="s">
        <v>119</v>
      </c>
      <c r="D31" t="s">
        <v>31</v>
      </c>
      <c r="E31" t="s">
        <v>247</v>
      </c>
      <c r="F31">
        <v>801</v>
      </c>
      <c r="G31">
        <v>0.13982521847690399</v>
      </c>
      <c r="H31">
        <v>565.83780482819998</v>
      </c>
      <c r="I31">
        <v>422.04</v>
      </c>
      <c r="J31" s="3">
        <v>202.280589854395</v>
      </c>
      <c r="K31" s="3">
        <v>325.97183520599202</v>
      </c>
    </row>
    <row r="32" spans="1:11" x14ac:dyDescent="0.2">
      <c r="A32">
        <v>91</v>
      </c>
      <c r="B32">
        <v>2011</v>
      </c>
      <c r="C32" t="s">
        <v>119</v>
      </c>
      <c r="D32" t="s">
        <v>42</v>
      </c>
      <c r="E32" t="s">
        <v>268</v>
      </c>
      <c r="F32">
        <v>1252</v>
      </c>
      <c r="G32">
        <v>0</v>
      </c>
      <c r="H32">
        <v>465.14748299839999</v>
      </c>
      <c r="I32">
        <v>0</v>
      </c>
      <c r="J32" s="3">
        <v>786.85251700159995</v>
      </c>
      <c r="K32" s="3">
        <v>1252</v>
      </c>
    </row>
    <row r="33" spans="1:11" x14ac:dyDescent="0.2">
      <c r="A33">
        <v>94</v>
      </c>
      <c r="B33">
        <v>2012</v>
      </c>
      <c r="C33" t="s">
        <v>119</v>
      </c>
      <c r="D33" t="s">
        <v>42</v>
      </c>
      <c r="E33" t="s">
        <v>269</v>
      </c>
      <c r="F33">
        <v>518</v>
      </c>
      <c r="G33">
        <v>0</v>
      </c>
      <c r="H33">
        <v>113.4683742432</v>
      </c>
      <c r="I33">
        <v>0</v>
      </c>
      <c r="J33" s="3">
        <v>404.5316257568</v>
      </c>
      <c r="K33" s="3">
        <v>518</v>
      </c>
    </row>
    <row r="34" spans="1:11" x14ac:dyDescent="0.2">
      <c r="A34">
        <v>97</v>
      </c>
      <c r="B34">
        <v>2013</v>
      </c>
      <c r="C34" t="s">
        <v>119</v>
      </c>
      <c r="D34" t="s">
        <v>42</v>
      </c>
      <c r="E34" t="s">
        <v>270</v>
      </c>
      <c r="F34">
        <v>622</v>
      </c>
      <c r="G34">
        <v>0</v>
      </c>
      <c r="H34">
        <v>96.020910674199996</v>
      </c>
      <c r="I34">
        <v>0</v>
      </c>
      <c r="J34" s="3">
        <v>525.97908932580003</v>
      </c>
      <c r="K34" s="3">
        <v>622</v>
      </c>
    </row>
    <row r="35" spans="1:11" x14ac:dyDescent="0.2">
      <c r="A35">
        <v>100</v>
      </c>
      <c r="B35">
        <v>2014</v>
      </c>
      <c r="C35" t="s">
        <v>119</v>
      </c>
      <c r="D35" t="s">
        <v>42</v>
      </c>
      <c r="E35" t="s">
        <v>271</v>
      </c>
      <c r="F35">
        <v>407</v>
      </c>
      <c r="G35">
        <v>0</v>
      </c>
      <c r="H35">
        <v>105.1108853435</v>
      </c>
      <c r="I35">
        <v>20</v>
      </c>
      <c r="J35" s="3">
        <v>301.8891146565</v>
      </c>
      <c r="K35" s="3">
        <v>387</v>
      </c>
    </row>
    <row r="36" spans="1:11" x14ac:dyDescent="0.2">
      <c r="A36">
        <v>103</v>
      </c>
      <c r="B36">
        <v>2015</v>
      </c>
      <c r="C36" t="s">
        <v>119</v>
      </c>
      <c r="D36" t="s">
        <v>42</v>
      </c>
      <c r="E36" t="s">
        <v>272</v>
      </c>
      <c r="F36">
        <v>778</v>
      </c>
      <c r="G36">
        <v>0</v>
      </c>
      <c r="H36">
        <v>250.88405016870001</v>
      </c>
      <c r="I36">
        <v>0</v>
      </c>
      <c r="J36" s="3">
        <v>527.11594983129999</v>
      </c>
      <c r="K36" s="3">
        <v>778</v>
      </c>
    </row>
    <row r="37" spans="1:11" x14ac:dyDescent="0.2">
      <c r="A37">
        <v>106</v>
      </c>
      <c r="B37">
        <v>2016</v>
      </c>
      <c r="C37" t="s">
        <v>119</v>
      </c>
      <c r="D37" t="s">
        <v>42</v>
      </c>
      <c r="E37" t="s">
        <v>273</v>
      </c>
      <c r="F37">
        <v>906</v>
      </c>
      <c r="G37">
        <v>0</v>
      </c>
      <c r="H37">
        <v>283.20562999800001</v>
      </c>
      <c r="I37">
        <v>0</v>
      </c>
      <c r="J37" s="3">
        <v>622.79437000200005</v>
      </c>
      <c r="K37" s="3">
        <v>906</v>
      </c>
    </row>
    <row r="38" spans="1:11" x14ac:dyDescent="0.2">
      <c r="A38">
        <v>109</v>
      </c>
      <c r="B38">
        <v>2017</v>
      </c>
      <c r="C38" t="s">
        <v>119</v>
      </c>
      <c r="D38" t="s">
        <v>42</v>
      </c>
      <c r="E38" t="s">
        <v>274</v>
      </c>
      <c r="F38">
        <v>395</v>
      </c>
      <c r="G38">
        <v>0</v>
      </c>
      <c r="H38">
        <v>164.45584098379999</v>
      </c>
      <c r="I38">
        <v>0</v>
      </c>
      <c r="J38" s="3">
        <v>230.54415901620001</v>
      </c>
      <c r="K38" s="3">
        <v>395</v>
      </c>
    </row>
    <row r="39" spans="1:11" x14ac:dyDescent="0.2">
      <c r="A39">
        <v>112</v>
      </c>
      <c r="B39">
        <v>2018</v>
      </c>
      <c r="C39" t="s">
        <v>119</v>
      </c>
      <c r="D39" t="s">
        <v>42</v>
      </c>
      <c r="E39" t="s">
        <v>275</v>
      </c>
      <c r="F39">
        <v>270</v>
      </c>
      <c r="G39">
        <v>0</v>
      </c>
      <c r="H39">
        <v>82.259402266500004</v>
      </c>
      <c r="I39">
        <v>0</v>
      </c>
      <c r="J39" s="3">
        <v>187.74059773350001</v>
      </c>
      <c r="K39" s="3">
        <v>270</v>
      </c>
    </row>
    <row r="40" spans="1:11" x14ac:dyDescent="0.2">
      <c r="A40">
        <v>115</v>
      </c>
      <c r="B40">
        <v>2019</v>
      </c>
      <c r="C40" t="s">
        <v>119</v>
      </c>
      <c r="D40" t="s">
        <v>42</v>
      </c>
      <c r="E40" t="s">
        <v>276</v>
      </c>
      <c r="F40">
        <v>530</v>
      </c>
      <c r="G40">
        <v>0.56603773584905703</v>
      </c>
      <c r="H40">
        <v>198.09903180750001</v>
      </c>
      <c r="I40">
        <v>1.19</v>
      </c>
      <c r="J40" s="3">
        <v>144.03249563070801</v>
      </c>
      <c r="K40" s="3">
        <v>229.48358490566</v>
      </c>
    </row>
    <row r="41" spans="1:11" x14ac:dyDescent="0.2">
      <c r="A41">
        <v>118</v>
      </c>
      <c r="B41">
        <v>2020</v>
      </c>
      <c r="C41" t="s">
        <v>119</v>
      </c>
      <c r="D41" t="s">
        <v>42</v>
      </c>
      <c r="E41" t="s">
        <v>277</v>
      </c>
      <c r="F41">
        <v>669</v>
      </c>
      <c r="G41">
        <v>0.269058295964126</v>
      </c>
      <c r="H41">
        <v>100.3164804244</v>
      </c>
      <c r="I41">
        <v>3.28</v>
      </c>
      <c r="J41" s="3">
        <v>415.674500855708</v>
      </c>
      <c r="K41" s="3">
        <v>486.60251121076197</v>
      </c>
    </row>
    <row r="42" spans="1:11" x14ac:dyDescent="0.2">
      <c r="A42">
        <v>121</v>
      </c>
      <c r="B42">
        <v>2011</v>
      </c>
      <c r="C42" t="s">
        <v>119</v>
      </c>
      <c r="D42" t="s">
        <v>20</v>
      </c>
      <c r="E42" t="s">
        <v>298</v>
      </c>
      <c r="F42">
        <v>4490</v>
      </c>
      <c r="G42">
        <v>0.37861915367483301</v>
      </c>
      <c r="H42">
        <v>1150.898340682</v>
      </c>
      <c r="I42">
        <v>0</v>
      </c>
      <c r="J42" s="3">
        <v>2074.85381503279</v>
      </c>
      <c r="K42" s="3">
        <v>2790</v>
      </c>
    </row>
    <row r="43" spans="1:11" x14ac:dyDescent="0.2">
      <c r="A43">
        <v>124</v>
      </c>
      <c r="B43">
        <v>2012</v>
      </c>
      <c r="C43" t="s">
        <v>119</v>
      </c>
      <c r="D43" t="s">
        <v>20</v>
      </c>
      <c r="E43" t="s">
        <v>299</v>
      </c>
      <c r="F43">
        <v>7792</v>
      </c>
      <c r="G43">
        <v>0.61139630390143695</v>
      </c>
      <c r="H43">
        <v>2442.2507650101002</v>
      </c>
      <c r="I43">
        <v>0</v>
      </c>
      <c r="J43" s="3">
        <v>2078.9323259175299</v>
      </c>
      <c r="K43" s="3">
        <v>3028</v>
      </c>
    </row>
    <row r="44" spans="1:11" x14ac:dyDescent="0.2">
      <c r="A44">
        <v>127</v>
      </c>
      <c r="B44">
        <v>2013</v>
      </c>
      <c r="C44" t="s">
        <v>119</v>
      </c>
      <c r="D44" t="s">
        <v>20</v>
      </c>
      <c r="E44" t="s">
        <v>300</v>
      </c>
      <c r="F44">
        <v>7799</v>
      </c>
      <c r="G44">
        <v>0.64918579305039104</v>
      </c>
      <c r="H44">
        <v>2653.5157029246998</v>
      </c>
      <c r="I44">
        <v>0</v>
      </c>
      <c r="J44" s="3">
        <v>1805.10899305014</v>
      </c>
      <c r="K44" s="3">
        <v>2736</v>
      </c>
    </row>
    <row r="45" spans="1:11" x14ac:dyDescent="0.2">
      <c r="A45">
        <v>130</v>
      </c>
      <c r="B45">
        <v>2014</v>
      </c>
      <c r="C45" t="s">
        <v>119</v>
      </c>
      <c r="D45" t="s">
        <v>20</v>
      </c>
      <c r="E45" t="s">
        <v>301</v>
      </c>
      <c r="F45">
        <v>6225</v>
      </c>
      <c r="G45">
        <v>0.50795180722891597</v>
      </c>
      <c r="H45">
        <v>1787.2848413526001</v>
      </c>
      <c r="I45">
        <v>12</v>
      </c>
      <c r="J45" s="3">
        <v>2183.5697238452999</v>
      </c>
      <c r="K45" s="3">
        <v>3057.0954216867499</v>
      </c>
    </row>
    <row r="46" spans="1:11" x14ac:dyDescent="0.2">
      <c r="A46">
        <v>133</v>
      </c>
      <c r="B46">
        <v>2015</v>
      </c>
      <c r="C46" t="s">
        <v>119</v>
      </c>
      <c r="D46" t="s">
        <v>20</v>
      </c>
      <c r="E46" t="s">
        <v>302</v>
      </c>
      <c r="F46">
        <v>4575</v>
      </c>
      <c r="G46">
        <v>0.37617486338797801</v>
      </c>
      <c r="H46">
        <v>1168.4318268627001</v>
      </c>
      <c r="I46">
        <v>0</v>
      </c>
      <c r="J46" s="3">
        <v>2125.1028559855399</v>
      </c>
      <c r="K46" s="3">
        <v>2854</v>
      </c>
    </row>
    <row r="47" spans="1:11" x14ac:dyDescent="0.2">
      <c r="A47">
        <v>136</v>
      </c>
      <c r="B47">
        <v>2016</v>
      </c>
      <c r="C47" t="s">
        <v>119</v>
      </c>
      <c r="D47" t="s">
        <v>20</v>
      </c>
      <c r="E47" t="s">
        <v>303</v>
      </c>
      <c r="F47">
        <v>6327</v>
      </c>
      <c r="G47">
        <v>0.62004109372530403</v>
      </c>
      <c r="H47">
        <v>2121.6266504241999</v>
      </c>
      <c r="I47">
        <v>0</v>
      </c>
      <c r="J47" s="3">
        <v>1597.8690583815701</v>
      </c>
      <c r="K47" s="3">
        <v>2404</v>
      </c>
    </row>
    <row r="48" spans="1:11" x14ac:dyDescent="0.2">
      <c r="A48">
        <v>139</v>
      </c>
      <c r="B48">
        <v>2017</v>
      </c>
      <c r="C48" t="s">
        <v>119</v>
      </c>
      <c r="D48" t="s">
        <v>20</v>
      </c>
      <c r="E48" t="s">
        <v>304</v>
      </c>
      <c r="F48">
        <v>6996</v>
      </c>
      <c r="G48">
        <v>0.74585477415666102</v>
      </c>
      <c r="H48">
        <v>2409.5906134694001</v>
      </c>
      <c r="I48">
        <v>0</v>
      </c>
      <c r="J48" s="3">
        <v>1165.6140493498301</v>
      </c>
      <c r="K48" s="3">
        <v>1778</v>
      </c>
    </row>
    <row r="49" spans="1:11" x14ac:dyDescent="0.2">
      <c r="A49">
        <v>142</v>
      </c>
      <c r="B49">
        <v>2018</v>
      </c>
      <c r="C49" t="s">
        <v>119</v>
      </c>
      <c r="D49" t="s">
        <v>20</v>
      </c>
      <c r="E49" t="s">
        <v>305</v>
      </c>
      <c r="F49">
        <v>8229</v>
      </c>
      <c r="G49">
        <v>0.861708591566411</v>
      </c>
      <c r="H49">
        <v>3124.4122810787999</v>
      </c>
      <c r="I49">
        <v>0</v>
      </c>
      <c r="J49" s="3">
        <v>705.92062512241205</v>
      </c>
      <c r="K49" s="3">
        <v>1138</v>
      </c>
    </row>
    <row r="50" spans="1:11" x14ac:dyDescent="0.2">
      <c r="A50">
        <v>145</v>
      </c>
      <c r="B50">
        <v>2019</v>
      </c>
      <c r="C50" t="s">
        <v>119</v>
      </c>
      <c r="D50" t="s">
        <v>20</v>
      </c>
      <c r="E50" t="s">
        <v>306</v>
      </c>
      <c r="F50">
        <v>7334</v>
      </c>
      <c r="G50">
        <v>0.67507499318243802</v>
      </c>
      <c r="H50">
        <v>2857.2665452251999</v>
      </c>
      <c r="I50">
        <v>128.4</v>
      </c>
      <c r="J50" s="3">
        <v>1454.60264831311</v>
      </c>
      <c r="K50" s="3">
        <v>2341.27962912463</v>
      </c>
    </row>
    <row r="51" spans="1:11" x14ac:dyDescent="0.2">
      <c r="A51">
        <v>148</v>
      </c>
      <c r="B51">
        <v>2020</v>
      </c>
      <c r="C51" t="s">
        <v>119</v>
      </c>
      <c r="D51" t="s">
        <v>20</v>
      </c>
      <c r="E51" t="s">
        <v>307</v>
      </c>
      <c r="F51">
        <v>7232</v>
      </c>
      <c r="G51">
        <v>0.78830199115044297</v>
      </c>
      <c r="H51">
        <v>2738.0589539611001</v>
      </c>
      <c r="I51">
        <v>53.4</v>
      </c>
      <c r="J51" s="3">
        <v>951.35837133373298</v>
      </c>
      <c r="K51" s="3">
        <v>1519.6953263274299</v>
      </c>
    </row>
    <row r="52" spans="1:11" x14ac:dyDescent="0.2">
      <c r="A52">
        <v>2</v>
      </c>
      <c r="B52">
        <v>2011</v>
      </c>
      <c r="C52" t="s">
        <v>8</v>
      </c>
      <c r="D52" t="s">
        <v>9</v>
      </c>
      <c r="E52" t="s">
        <v>188</v>
      </c>
      <c r="F52">
        <v>66575</v>
      </c>
      <c r="G52">
        <v>8.4701464513706304E-2</v>
      </c>
      <c r="H52">
        <v>46220.466104189698</v>
      </c>
      <c r="I52">
        <v>46038.52</v>
      </c>
      <c r="J52" s="3">
        <v>18630.475065341299</v>
      </c>
      <c r="K52" s="3">
        <v>18797.010068043601</v>
      </c>
    </row>
    <row r="53" spans="1:11" x14ac:dyDescent="0.2">
      <c r="A53">
        <v>5</v>
      </c>
      <c r="B53">
        <v>2012</v>
      </c>
      <c r="C53" t="s">
        <v>8</v>
      </c>
      <c r="D53" t="s">
        <v>9</v>
      </c>
      <c r="E53" t="s">
        <v>189</v>
      </c>
      <c r="F53">
        <v>46495</v>
      </c>
      <c r="G53">
        <v>9.8720292504570401E-2</v>
      </c>
      <c r="H53">
        <v>32231.679483468801</v>
      </c>
      <c r="I53">
        <v>32214.45</v>
      </c>
      <c r="J53" s="3">
        <v>12855.241343052799</v>
      </c>
      <c r="K53" s="3">
        <v>12870.7699268739</v>
      </c>
    </row>
    <row r="54" spans="1:11" x14ac:dyDescent="0.2">
      <c r="A54">
        <v>8</v>
      </c>
      <c r="B54">
        <v>2013</v>
      </c>
      <c r="C54" t="s">
        <v>8</v>
      </c>
      <c r="D54" t="s">
        <v>9</v>
      </c>
      <c r="E54" t="s">
        <v>190</v>
      </c>
      <c r="F54">
        <v>49057</v>
      </c>
      <c r="G54">
        <v>0.12151171086695101</v>
      </c>
      <c r="H54">
        <v>34620.689158005101</v>
      </c>
      <c r="I54">
        <v>34326.300000000003</v>
      </c>
      <c r="J54" s="3">
        <v>12682.130012977001</v>
      </c>
      <c r="K54" s="3">
        <v>12940.747440732201</v>
      </c>
    </row>
    <row r="55" spans="1:11" x14ac:dyDescent="0.2">
      <c r="A55">
        <v>11</v>
      </c>
      <c r="B55">
        <v>2014</v>
      </c>
      <c r="C55" t="s">
        <v>8</v>
      </c>
      <c r="D55" t="s">
        <v>9</v>
      </c>
      <c r="E55" t="s">
        <v>191</v>
      </c>
      <c r="F55">
        <v>99726</v>
      </c>
      <c r="G55">
        <v>6.2802077692878502E-2</v>
      </c>
      <c r="H55">
        <v>67778.3092014906</v>
      </c>
      <c r="I55">
        <v>67439.399999999994</v>
      </c>
      <c r="J55" s="3">
        <v>29941.309438873399</v>
      </c>
      <c r="K55" s="3">
        <v>30258.934438361099</v>
      </c>
    </row>
    <row r="56" spans="1:11" x14ac:dyDescent="0.2">
      <c r="A56">
        <v>14</v>
      </c>
      <c r="B56">
        <v>2015</v>
      </c>
      <c r="C56" t="s">
        <v>8</v>
      </c>
      <c r="D56" t="s">
        <v>9</v>
      </c>
      <c r="E56" t="s">
        <v>192</v>
      </c>
      <c r="F56">
        <v>79759</v>
      </c>
      <c r="G56">
        <v>0.11741621635176</v>
      </c>
      <c r="H56">
        <v>53747.854522453599</v>
      </c>
      <c r="I56">
        <v>53557.67</v>
      </c>
      <c r="J56" s="3">
        <v>22957.015192597701</v>
      </c>
      <c r="K56" s="3">
        <v>23124.868968016199</v>
      </c>
    </row>
    <row r="57" spans="1:11" x14ac:dyDescent="0.2">
      <c r="A57">
        <v>17</v>
      </c>
      <c r="B57">
        <v>2016</v>
      </c>
      <c r="C57" t="s">
        <v>8</v>
      </c>
      <c r="D57" t="s">
        <v>9</v>
      </c>
      <c r="E57" t="s">
        <v>193</v>
      </c>
      <c r="F57">
        <v>68347</v>
      </c>
      <c r="G57">
        <v>6.9542189123150994E-2</v>
      </c>
      <c r="H57">
        <v>45547.410444020003</v>
      </c>
      <c r="I57">
        <v>44911.05</v>
      </c>
      <c r="J57" s="3">
        <v>21214.056187147798</v>
      </c>
      <c r="K57" s="3">
        <v>21806.162732819299</v>
      </c>
    </row>
    <row r="58" spans="1:11" x14ac:dyDescent="0.2">
      <c r="A58">
        <v>20</v>
      </c>
      <c r="B58">
        <v>2017</v>
      </c>
      <c r="C58" t="s">
        <v>8</v>
      </c>
      <c r="D58" t="s">
        <v>9</v>
      </c>
      <c r="E58" t="s">
        <v>194</v>
      </c>
      <c r="F58">
        <v>52306</v>
      </c>
      <c r="G58">
        <v>4.1486636332351903E-2</v>
      </c>
      <c r="H58">
        <v>34962.832742354403</v>
      </c>
      <c r="I58">
        <v>34752.69</v>
      </c>
      <c r="J58" s="3">
        <v>16623.657584776502</v>
      </c>
      <c r="K58" s="3">
        <v>16825.082211600999</v>
      </c>
    </row>
    <row r="59" spans="1:11" x14ac:dyDescent="0.2">
      <c r="A59">
        <v>23</v>
      </c>
      <c r="B59">
        <v>2018</v>
      </c>
      <c r="C59" t="s">
        <v>8</v>
      </c>
      <c r="D59" t="s">
        <v>9</v>
      </c>
      <c r="E59" t="s">
        <v>195</v>
      </c>
      <c r="F59">
        <v>30861</v>
      </c>
      <c r="G59">
        <v>0.23116554875085099</v>
      </c>
      <c r="H59">
        <v>21350.918123908101</v>
      </c>
      <c r="I59">
        <v>20917.240000000002</v>
      </c>
      <c r="J59" s="3">
        <v>7311.6785805396003</v>
      </c>
      <c r="K59" s="3">
        <v>7645.1052629532396</v>
      </c>
    </row>
    <row r="60" spans="1:11" x14ac:dyDescent="0.2">
      <c r="A60">
        <v>26</v>
      </c>
      <c r="B60">
        <v>2019</v>
      </c>
      <c r="C60" t="s">
        <v>8</v>
      </c>
      <c r="D60" t="s">
        <v>9</v>
      </c>
      <c r="E60" t="s">
        <v>196</v>
      </c>
      <c r="F60">
        <v>34851</v>
      </c>
      <c r="G60">
        <v>0.227626180023529</v>
      </c>
      <c r="H60">
        <v>23877.024599690601</v>
      </c>
      <c r="I60">
        <v>23594.68</v>
      </c>
      <c r="J60" s="3">
        <v>8476.0113002647995</v>
      </c>
      <c r="K60" s="3">
        <v>8694.0868772775593</v>
      </c>
    </row>
    <row r="61" spans="1:11" x14ac:dyDescent="0.2">
      <c r="A61">
        <v>29</v>
      </c>
      <c r="B61">
        <v>2020</v>
      </c>
      <c r="C61" t="s">
        <v>8</v>
      </c>
      <c r="D61" t="s">
        <v>9</v>
      </c>
      <c r="E61" t="s">
        <v>197</v>
      </c>
      <c r="F61">
        <v>40347</v>
      </c>
      <c r="G61">
        <v>0.14157186407911401</v>
      </c>
      <c r="H61">
        <v>27370.4675365396</v>
      </c>
      <c r="I61">
        <v>27203.18</v>
      </c>
      <c r="J61" s="3">
        <v>11139.4205733252</v>
      </c>
      <c r="K61" s="3">
        <v>11283.024901479699</v>
      </c>
    </row>
    <row r="62" spans="1:11" x14ac:dyDescent="0.2">
      <c r="A62">
        <v>32</v>
      </c>
      <c r="B62">
        <v>2011</v>
      </c>
      <c r="C62" t="s">
        <v>8</v>
      </c>
      <c r="D62" t="s">
        <v>53</v>
      </c>
      <c r="E62" t="s">
        <v>218</v>
      </c>
      <c r="F62">
        <v>20843</v>
      </c>
      <c r="G62">
        <v>0.19023173247613101</v>
      </c>
      <c r="H62">
        <v>2957.2999666203</v>
      </c>
      <c r="I62">
        <v>2770.82</v>
      </c>
      <c r="J62" s="3">
        <v>14483.2723294815</v>
      </c>
      <c r="K62" s="3">
        <v>14634.277888979501</v>
      </c>
    </row>
    <row r="63" spans="1:11" x14ac:dyDescent="0.2">
      <c r="A63">
        <v>35</v>
      </c>
      <c r="B63">
        <v>2012</v>
      </c>
      <c r="C63" t="s">
        <v>8</v>
      </c>
      <c r="D63" t="s">
        <v>53</v>
      </c>
      <c r="E63" t="s">
        <v>219</v>
      </c>
      <c r="F63">
        <v>9084</v>
      </c>
      <c r="G63">
        <v>0.43064729194187601</v>
      </c>
      <c r="H63">
        <v>1465.0378296946001</v>
      </c>
      <c r="I63">
        <v>1321.57</v>
      </c>
      <c r="J63" s="3">
        <v>4337.8767442557801</v>
      </c>
      <c r="K63" s="3">
        <v>4419.5605416116296</v>
      </c>
    </row>
    <row r="64" spans="1:11" x14ac:dyDescent="0.2">
      <c r="A64">
        <v>38</v>
      </c>
      <c r="B64">
        <v>2013</v>
      </c>
      <c r="C64" t="s">
        <v>8</v>
      </c>
      <c r="D64" t="s">
        <v>53</v>
      </c>
      <c r="E64" t="s">
        <v>220</v>
      </c>
      <c r="F64">
        <v>21727</v>
      </c>
      <c r="G64">
        <v>0.18925760574400499</v>
      </c>
      <c r="H64">
        <v>2173.1661156287</v>
      </c>
      <c r="I64">
        <v>1872.12</v>
      </c>
      <c r="J64" s="3">
        <v>15853.122100299201</v>
      </c>
      <c r="K64" s="3">
        <v>16097.192948865501</v>
      </c>
    </row>
    <row r="65" spans="1:11" x14ac:dyDescent="0.2">
      <c r="A65">
        <v>41</v>
      </c>
      <c r="B65">
        <v>2014</v>
      </c>
      <c r="C65" t="s">
        <v>8</v>
      </c>
      <c r="D65" t="s">
        <v>53</v>
      </c>
      <c r="E65" t="s">
        <v>221</v>
      </c>
      <c r="F65">
        <v>10053</v>
      </c>
      <c r="G65">
        <v>0.34815477966776098</v>
      </c>
      <c r="H65">
        <v>1296.3161993900001</v>
      </c>
      <c r="I65">
        <v>951.96</v>
      </c>
      <c r="J65" s="3">
        <v>5708.0024813883701</v>
      </c>
      <c r="K65" s="3">
        <v>5932.4694240525196</v>
      </c>
    </row>
    <row r="66" spans="1:11" x14ac:dyDescent="0.2">
      <c r="A66">
        <v>44</v>
      </c>
      <c r="B66">
        <v>2015</v>
      </c>
      <c r="C66" t="s">
        <v>8</v>
      </c>
      <c r="D66" t="s">
        <v>53</v>
      </c>
      <c r="E66" t="s">
        <v>222</v>
      </c>
      <c r="F66">
        <v>10930</v>
      </c>
      <c r="G66">
        <v>0.375114364135407</v>
      </c>
      <c r="H66">
        <v>1610.8258773192999</v>
      </c>
      <c r="I66">
        <v>1337.26</v>
      </c>
      <c r="J66" s="3">
        <v>5823.4180473841898</v>
      </c>
      <c r="K66" s="3">
        <v>5994.3654345837103</v>
      </c>
    </row>
    <row r="67" spans="1:11" x14ac:dyDescent="0.2">
      <c r="A67">
        <v>47</v>
      </c>
      <c r="B67">
        <v>2016</v>
      </c>
      <c r="C67" t="s">
        <v>8</v>
      </c>
      <c r="D67" t="s">
        <v>53</v>
      </c>
      <c r="E67" t="s">
        <v>223</v>
      </c>
      <c r="F67">
        <v>9071</v>
      </c>
      <c r="G67">
        <v>0.16536214309337399</v>
      </c>
      <c r="H67">
        <v>874.29109121160002</v>
      </c>
      <c r="I67">
        <v>769.7</v>
      </c>
      <c r="J67" s="3">
        <v>6841.2835573185903</v>
      </c>
      <c r="K67" s="3">
        <v>6928.5792415389697</v>
      </c>
    </row>
    <row r="68" spans="1:11" x14ac:dyDescent="0.2">
      <c r="A68">
        <v>50</v>
      </c>
      <c r="B68">
        <v>2017</v>
      </c>
      <c r="C68" t="s">
        <v>8</v>
      </c>
      <c r="D68" t="s">
        <v>53</v>
      </c>
      <c r="E68" t="s">
        <v>224</v>
      </c>
      <c r="F68">
        <v>9386</v>
      </c>
      <c r="G68">
        <v>0.53270828894097599</v>
      </c>
      <c r="H68">
        <v>1239.2037713405</v>
      </c>
      <c r="I68">
        <v>945.36</v>
      </c>
      <c r="J68" s="3">
        <v>3806.9303493395</v>
      </c>
      <c r="K68" s="3">
        <v>3944.2411080332399</v>
      </c>
    </row>
    <row r="69" spans="1:11" x14ac:dyDescent="0.2">
      <c r="A69">
        <v>53</v>
      </c>
      <c r="B69">
        <v>2018</v>
      </c>
      <c r="C69" t="s">
        <v>8</v>
      </c>
      <c r="D69" t="s">
        <v>53</v>
      </c>
      <c r="E69" t="s">
        <v>225</v>
      </c>
      <c r="F69">
        <v>4932</v>
      </c>
      <c r="G69">
        <v>0.50689375506893797</v>
      </c>
      <c r="H69">
        <v>808.2153625144</v>
      </c>
      <c r="I69">
        <v>735.32</v>
      </c>
      <c r="J69" s="3">
        <v>2033.4639574949299</v>
      </c>
      <c r="K69" s="3">
        <v>2069.4091159772902</v>
      </c>
    </row>
    <row r="70" spans="1:11" x14ac:dyDescent="0.2">
      <c r="A70">
        <v>56</v>
      </c>
      <c r="B70">
        <v>2019</v>
      </c>
      <c r="C70" t="s">
        <v>8</v>
      </c>
      <c r="D70" t="s">
        <v>53</v>
      </c>
      <c r="E70" t="s">
        <v>226</v>
      </c>
      <c r="F70">
        <v>9347</v>
      </c>
      <c r="G70">
        <v>0.133732748475447</v>
      </c>
      <c r="H70">
        <v>1370.7981664931999</v>
      </c>
      <c r="I70">
        <v>1207.5899999999999</v>
      </c>
      <c r="J70" s="3">
        <v>6909.5224399170402</v>
      </c>
      <c r="K70" s="3">
        <v>7050.9043297314602</v>
      </c>
    </row>
    <row r="71" spans="1:11" x14ac:dyDescent="0.2">
      <c r="A71">
        <v>59</v>
      </c>
      <c r="B71">
        <v>2020</v>
      </c>
      <c r="C71" t="s">
        <v>8</v>
      </c>
      <c r="D71" t="s">
        <v>53</v>
      </c>
      <c r="E71" t="s">
        <v>227</v>
      </c>
      <c r="F71">
        <v>6120</v>
      </c>
      <c r="G71">
        <v>0.32173202614379098</v>
      </c>
      <c r="H71">
        <v>1131.7296855448999</v>
      </c>
      <c r="I71">
        <v>877.28</v>
      </c>
      <c r="J71" s="3">
        <v>3383.3839992325402</v>
      </c>
      <c r="K71" s="3">
        <v>3555.9690718954298</v>
      </c>
    </row>
    <row r="72" spans="1:11" x14ac:dyDescent="0.2">
      <c r="A72">
        <v>62</v>
      </c>
      <c r="B72">
        <v>2011</v>
      </c>
      <c r="C72" t="s">
        <v>8</v>
      </c>
      <c r="D72" t="s">
        <v>31</v>
      </c>
      <c r="E72" t="s">
        <v>248</v>
      </c>
      <c r="F72">
        <v>235857</v>
      </c>
      <c r="G72">
        <v>0.35456229834179198</v>
      </c>
      <c r="H72">
        <v>26108.081038414999</v>
      </c>
      <c r="I72">
        <v>23704.17</v>
      </c>
      <c r="J72" s="3">
        <v>135379.86017985901</v>
      </c>
      <c r="K72" s="3">
        <v>136931.434995485</v>
      </c>
    </row>
    <row r="73" spans="1:11" x14ac:dyDescent="0.2">
      <c r="A73">
        <v>65</v>
      </c>
      <c r="B73">
        <v>2012</v>
      </c>
      <c r="C73" t="s">
        <v>8</v>
      </c>
      <c r="D73" t="s">
        <v>31</v>
      </c>
      <c r="E73" t="s">
        <v>249</v>
      </c>
      <c r="F73">
        <v>207526</v>
      </c>
      <c r="G73">
        <v>0.23554157069475601</v>
      </c>
      <c r="H73">
        <v>29975.827177256298</v>
      </c>
      <c r="I73">
        <v>27609.16</v>
      </c>
      <c r="J73" s="3">
        <v>135729.72623894899</v>
      </c>
      <c r="K73" s="3">
        <v>137538.94491196299</v>
      </c>
    </row>
    <row r="74" spans="1:11" x14ac:dyDescent="0.2">
      <c r="A74">
        <v>68</v>
      </c>
      <c r="B74">
        <v>2013</v>
      </c>
      <c r="C74" t="s">
        <v>8</v>
      </c>
      <c r="D74" t="s">
        <v>31</v>
      </c>
      <c r="E74" t="s">
        <v>250</v>
      </c>
      <c r="F74">
        <v>252044</v>
      </c>
      <c r="G74">
        <v>0.17840535779467101</v>
      </c>
      <c r="H74">
        <v>19379.906725400699</v>
      </c>
      <c r="I74">
        <v>17213.16</v>
      </c>
      <c r="J74" s="3">
        <v>191155.572467972</v>
      </c>
      <c r="K74" s="3">
        <v>192935.75996857701</v>
      </c>
    </row>
    <row r="75" spans="1:11" x14ac:dyDescent="0.2">
      <c r="A75">
        <v>71</v>
      </c>
      <c r="B75">
        <v>2014</v>
      </c>
      <c r="C75" t="s">
        <v>8</v>
      </c>
      <c r="D75" t="s">
        <v>31</v>
      </c>
      <c r="E75" t="s">
        <v>251</v>
      </c>
      <c r="F75">
        <v>379276</v>
      </c>
      <c r="G75">
        <v>0.1820626667651</v>
      </c>
      <c r="H75">
        <v>35561.018813536597</v>
      </c>
      <c r="I75">
        <v>32825.120000000003</v>
      </c>
      <c r="J75" s="3">
        <v>281137.31510453997</v>
      </c>
      <c r="K75" s="3">
        <v>283375.10888408398</v>
      </c>
    </row>
    <row r="76" spans="1:11" x14ac:dyDescent="0.2">
      <c r="A76">
        <v>74</v>
      </c>
      <c r="B76">
        <v>2015</v>
      </c>
      <c r="C76" t="s">
        <v>8</v>
      </c>
      <c r="D76" t="s">
        <v>31</v>
      </c>
      <c r="E76" t="s">
        <v>252</v>
      </c>
      <c r="F76">
        <v>302553</v>
      </c>
      <c r="G76">
        <v>0.20932530829309201</v>
      </c>
      <c r="H76">
        <v>29862.304095763298</v>
      </c>
      <c r="I76">
        <v>25405.200000000001</v>
      </c>
      <c r="J76" s="3">
        <v>215609.63191542399</v>
      </c>
      <c r="K76" s="3">
        <v>219133.75132224799</v>
      </c>
    </row>
    <row r="77" spans="1:11" x14ac:dyDescent="0.2">
      <c r="A77">
        <v>77</v>
      </c>
      <c r="B77">
        <v>2016</v>
      </c>
      <c r="C77" t="s">
        <v>8</v>
      </c>
      <c r="D77" t="s">
        <v>31</v>
      </c>
      <c r="E77" t="s">
        <v>253</v>
      </c>
      <c r="F77">
        <v>232657</v>
      </c>
      <c r="G77">
        <v>0.14560490335558399</v>
      </c>
      <c r="H77">
        <v>20104.235701773501</v>
      </c>
      <c r="I77">
        <v>16677.36</v>
      </c>
      <c r="J77" s="3">
        <v>181604.03959462099</v>
      </c>
      <c r="K77" s="3">
        <v>184531.94539102601</v>
      </c>
    </row>
    <row r="78" spans="1:11" x14ac:dyDescent="0.2">
      <c r="A78">
        <v>80</v>
      </c>
      <c r="B78">
        <v>2017</v>
      </c>
      <c r="C78" t="s">
        <v>8</v>
      </c>
      <c r="D78" t="s">
        <v>31</v>
      </c>
      <c r="E78" t="s">
        <v>254</v>
      </c>
      <c r="F78">
        <v>331387</v>
      </c>
      <c r="G78">
        <v>8.2658643821272401E-2</v>
      </c>
      <c r="H78">
        <v>21911.177445970501</v>
      </c>
      <c r="I78">
        <v>19097.669999999998</v>
      </c>
      <c r="J78" s="3">
        <v>283894.97076624102</v>
      </c>
      <c r="K78" s="3">
        <v>286475.91750234598</v>
      </c>
    </row>
    <row r="79" spans="1:11" x14ac:dyDescent="0.2">
      <c r="A79">
        <v>83</v>
      </c>
      <c r="B79">
        <v>2018</v>
      </c>
      <c r="C79" t="s">
        <v>8</v>
      </c>
      <c r="D79" t="s">
        <v>31</v>
      </c>
      <c r="E79" t="s">
        <v>255</v>
      </c>
      <c r="F79">
        <v>211248</v>
      </c>
      <c r="G79">
        <v>0.29797678557903501</v>
      </c>
      <c r="H79">
        <v>26733.422625640698</v>
      </c>
      <c r="I79">
        <v>23405.74</v>
      </c>
      <c r="J79" s="3">
        <v>129533.51671587399</v>
      </c>
      <c r="K79" s="3">
        <v>131869.627169299</v>
      </c>
    </row>
    <row r="80" spans="1:11" x14ac:dyDescent="0.2">
      <c r="A80">
        <v>86</v>
      </c>
      <c r="B80">
        <v>2019</v>
      </c>
      <c r="C80" t="s">
        <v>8</v>
      </c>
      <c r="D80" t="s">
        <v>31</v>
      </c>
      <c r="E80" t="s">
        <v>256</v>
      </c>
      <c r="F80">
        <v>236780</v>
      </c>
      <c r="G80">
        <v>0.220474702255258</v>
      </c>
      <c r="H80">
        <v>28032.901804591002</v>
      </c>
      <c r="I80">
        <v>22052.48</v>
      </c>
      <c r="J80" s="3">
        <v>162723.64387412701</v>
      </c>
      <c r="K80" s="3">
        <v>167385.53396199</v>
      </c>
    </row>
    <row r="81" spans="1:11" x14ac:dyDescent="0.2">
      <c r="A81">
        <v>89</v>
      </c>
      <c r="B81">
        <v>2020</v>
      </c>
      <c r="C81" t="s">
        <v>8</v>
      </c>
      <c r="D81" t="s">
        <v>31</v>
      </c>
      <c r="E81" t="s">
        <v>257</v>
      </c>
      <c r="F81">
        <v>138751</v>
      </c>
      <c r="G81">
        <v>0.180726625393691</v>
      </c>
      <c r="H81">
        <v>12733.6282004567</v>
      </c>
      <c r="I81">
        <v>8353.9</v>
      </c>
      <c r="J81" s="3">
        <v>103242.67745323</v>
      </c>
      <c r="K81" s="3">
        <v>106830.872155876</v>
      </c>
    </row>
    <row r="82" spans="1:11" x14ac:dyDescent="0.2">
      <c r="A82">
        <v>92</v>
      </c>
      <c r="B82">
        <v>2011</v>
      </c>
      <c r="C82" t="s">
        <v>8</v>
      </c>
      <c r="D82" t="s">
        <v>42</v>
      </c>
      <c r="E82" t="s">
        <v>278</v>
      </c>
      <c r="F82">
        <v>59002</v>
      </c>
      <c r="G82">
        <v>0</v>
      </c>
      <c r="H82">
        <v>6950.6962589412997</v>
      </c>
      <c r="I82">
        <v>5230.37</v>
      </c>
      <c r="J82" s="3">
        <v>52051.303741058699</v>
      </c>
      <c r="K82" s="3">
        <v>53771.63</v>
      </c>
    </row>
    <row r="83" spans="1:11" x14ac:dyDescent="0.2">
      <c r="A83">
        <v>95</v>
      </c>
      <c r="B83">
        <v>2012</v>
      </c>
      <c r="C83" t="s">
        <v>8</v>
      </c>
      <c r="D83" t="s">
        <v>42</v>
      </c>
      <c r="E83" t="s">
        <v>279</v>
      </c>
      <c r="F83">
        <v>56501</v>
      </c>
      <c r="G83">
        <v>1.06192810746712E-4</v>
      </c>
      <c r="H83">
        <v>6190.6139508677998</v>
      </c>
      <c r="I83">
        <v>4751.99</v>
      </c>
      <c r="J83" s="3">
        <v>50305.043447827898</v>
      </c>
      <c r="K83" s="3">
        <v>51743.5146271747</v>
      </c>
    </row>
    <row r="84" spans="1:11" x14ac:dyDescent="0.2">
      <c r="A84">
        <v>98</v>
      </c>
      <c r="B84">
        <v>2013</v>
      </c>
      <c r="C84" t="s">
        <v>8</v>
      </c>
      <c r="D84" t="s">
        <v>42</v>
      </c>
      <c r="E84" t="s">
        <v>280</v>
      </c>
      <c r="F84">
        <v>81359</v>
      </c>
      <c r="G84">
        <v>2.6794822945218101E-3</v>
      </c>
      <c r="H84">
        <v>9689.9408256901006</v>
      </c>
      <c r="I84">
        <v>7044.63</v>
      </c>
      <c r="J84" s="3">
        <v>71477.023199187301</v>
      </c>
      <c r="K84" s="3">
        <v>74115.245961356399</v>
      </c>
    </row>
    <row r="85" spans="1:11" x14ac:dyDescent="0.2">
      <c r="A85">
        <v>101</v>
      </c>
      <c r="B85">
        <v>2014</v>
      </c>
      <c r="C85" t="s">
        <v>8</v>
      </c>
      <c r="D85" t="s">
        <v>42</v>
      </c>
      <c r="E85" t="s">
        <v>281</v>
      </c>
      <c r="F85">
        <v>64042</v>
      </c>
      <c r="G85">
        <v>0</v>
      </c>
      <c r="H85">
        <v>2889.5985941489198</v>
      </c>
      <c r="I85">
        <v>1912.92</v>
      </c>
      <c r="J85" s="3">
        <v>61152.401405851102</v>
      </c>
      <c r="K85" s="3">
        <v>62129.08</v>
      </c>
    </row>
    <row r="86" spans="1:11" x14ac:dyDescent="0.2">
      <c r="A86">
        <v>104</v>
      </c>
      <c r="B86">
        <v>2015</v>
      </c>
      <c r="C86" t="s">
        <v>8</v>
      </c>
      <c r="D86" t="s">
        <v>42</v>
      </c>
      <c r="E86" t="s">
        <v>282</v>
      </c>
      <c r="F86">
        <v>79679</v>
      </c>
      <c r="G86">
        <v>0</v>
      </c>
      <c r="H86">
        <v>6426.6923608203997</v>
      </c>
      <c r="I86">
        <v>4798.1899999999996</v>
      </c>
      <c r="J86" s="3">
        <v>73252.307639179606</v>
      </c>
      <c r="K86" s="3">
        <v>74880.81</v>
      </c>
    </row>
    <row r="87" spans="1:11" x14ac:dyDescent="0.2">
      <c r="A87">
        <v>107</v>
      </c>
      <c r="B87">
        <v>2016</v>
      </c>
      <c r="C87" t="s">
        <v>8</v>
      </c>
      <c r="D87" t="s">
        <v>42</v>
      </c>
      <c r="E87" t="s">
        <v>283</v>
      </c>
      <c r="F87">
        <v>83373</v>
      </c>
      <c r="G87">
        <v>0</v>
      </c>
      <c r="H87">
        <v>5122.6453904424998</v>
      </c>
      <c r="I87">
        <v>3618.33</v>
      </c>
      <c r="J87" s="3">
        <v>78250.3546095575</v>
      </c>
      <c r="K87" s="3">
        <v>79754.67</v>
      </c>
    </row>
    <row r="88" spans="1:11" x14ac:dyDescent="0.2">
      <c r="A88">
        <v>110</v>
      </c>
      <c r="B88">
        <v>2017</v>
      </c>
      <c r="C88" t="s">
        <v>8</v>
      </c>
      <c r="D88" t="s">
        <v>42</v>
      </c>
      <c r="E88" t="s">
        <v>284</v>
      </c>
      <c r="F88">
        <v>83483</v>
      </c>
      <c r="G88">
        <v>0</v>
      </c>
      <c r="H88">
        <v>10456.642801509501</v>
      </c>
      <c r="I88">
        <v>7611.67</v>
      </c>
      <c r="J88" s="3">
        <v>73026.357198490499</v>
      </c>
      <c r="K88" s="3">
        <v>75871.33</v>
      </c>
    </row>
    <row r="89" spans="1:11" x14ac:dyDescent="0.2">
      <c r="A89">
        <v>113</v>
      </c>
      <c r="B89">
        <v>2018</v>
      </c>
      <c r="C89" t="s">
        <v>8</v>
      </c>
      <c r="D89" t="s">
        <v>42</v>
      </c>
      <c r="E89" t="s">
        <v>285</v>
      </c>
      <c r="F89">
        <v>51368</v>
      </c>
      <c r="G89">
        <v>0</v>
      </c>
      <c r="H89">
        <v>3373.29802443566</v>
      </c>
      <c r="I89">
        <v>2088.96</v>
      </c>
      <c r="J89" s="3">
        <v>47994.701975564298</v>
      </c>
      <c r="K89" s="3">
        <v>49279.040000000001</v>
      </c>
    </row>
    <row r="90" spans="1:11" x14ac:dyDescent="0.2">
      <c r="A90">
        <v>116</v>
      </c>
      <c r="B90">
        <v>2019</v>
      </c>
      <c r="C90" t="s">
        <v>8</v>
      </c>
      <c r="D90" t="s">
        <v>42</v>
      </c>
      <c r="E90" t="s">
        <v>286</v>
      </c>
      <c r="F90">
        <v>85258</v>
      </c>
      <c r="G90">
        <v>1.17291046001548E-3</v>
      </c>
      <c r="H90">
        <v>5960.6544414604004</v>
      </c>
      <c r="I90">
        <v>4919.33</v>
      </c>
      <c r="J90" s="3">
        <v>79204.336872482498</v>
      </c>
      <c r="K90" s="3">
        <v>80244.439933613306</v>
      </c>
    </row>
    <row r="91" spans="1:11" x14ac:dyDescent="0.2">
      <c r="A91">
        <v>119</v>
      </c>
      <c r="B91">
        <v>2020</v>
      </c>
      <c r="C91" t="s">
        <v>8</v>
      </c>
      <c r="D91" t="s">
        <v>42</v>
      </c>
      <c r="E91" t="s">
        <v>287</v>
      </c>
      <c r="F91">
        <v>51422</v>
      </c>
      <c r="G91">
        <v>6.8842129827700197E-3</v>
      </c>
      <c r="H91">
        <v>2905.6699192025999</v>
      </c>
      <c r="I91">
        <v>1687.33</v>
      </c>
      <c r="J91" s="3">
        <v>48182.333331378803</v>
      </c>
      <c r="K91" s="3">
        <v>49392.285939092202</v>
      </c>
    </row>
    <row r="92" spans="1:11" x14ac:dyDescent="0.2">
      <c r="A92">
        <v>122</v>
      </c>
      <c r="B92">
        <v>2011</v>
      </c>
      <c r="C92" t="s">
        <v>8</v>
      </c>
      <c r="D92" t="s">
        <v>20</v>
      </c>
      <c r="E92" t="s">
        <v>308</v>
      </c>
      <c r="F92">
        <v>20769</v>
      </c>
      <c r="G92">
        <v>0</v>
      </c>
      <c r="H92">
        <v>6669.2753254022</v>
      </c>
      <c r="I92">
        <v>5763.95</v>
      </c>
      <c r="J92" s="3">
        <v>14099.724674597799</v>
      </c>
      <c r="K92" s="3">
        <v>15005.05</v>
      </c>
    </row>
    <row r="93" spans="1:11" x14ac:dyDescent="0.2">
      <c r="A93">
        <v>125</v>
      </c>
      <c r="B93">
        <v>2012</v>
      </c>
      <c r="C93" t="s">
        <v>8</v>
      </c>
      <c r="D93" t="s">
        <v>20</v>
      </c>
      <c r="E93" t="s">
        <v>309</v>
      </c>
      <c r="F93">
        <v>15025</v>
      </c>
      <c r="G93">
        <v>0</v>
      </c>
      <c r="H93">
        <v>6119.8981483169</v>
      </c>
      <c r="I93">
        <v>5524</v>
      </c>
      <c r="J93" s="3">
        <v>8905.1018516831009</v>
      </c>
      <c r="K93" s="3">
        <v>9501</v>
      </c>
    </row>
    <row r="94" spans="1:11" x14ac:dyDescent="0.2">
      <c r="A94">
        <v>128</v>
      </c>
      <c r="B94">
        <v>2013</v>
      </c>
      <c r="C94" t="s">
        <v>8</v>
      </c>
      <c r="D94" t="s">
        <v>20</v>
      </c>
      <c r="E94" t="s">
        <v>310</v>
      </c>
      <c r="F94">
        <v>18362</v>
      </c>
      <c r="G94">
        <v>0</v>
      </c>
      <c r="H94">
        <v>5290.4995827442999</v>
      </c>
      <c r="I94">
        <v>4885.8</v>
      </c>
      <c r="J94" s="3">
        <v>13071.5004172557</v>
      </c>
      <c r="K94" s="3">
        <v>13476.2</v>
      </c>
    </row>
    <row r="95" spans="1:11" x14ac:dyDescent="0.2">
      <c r="A95">
        <v>131</v>
      </c>
      <c r="B95">
        <v>2014</v>
      </c>
      <c r="C95" t="s">
        <v>8</v>
      </c>
      <c r="D95" t="s">
        <v>20</v>
      </c>
      <c r="E95" t="s">
        <v>311</v>
      </c>
      <c r="F95">
        <v>20663</v>
      </c>
      <c r="G95">
        <v>0</v>
      </c>
      <c r="H95">
        <v>5406.3644958388004</v>
      </c>
      <c r="I95">
        <v>4480.25</v>
      </c>
      <c r="J95" s="3">
        <v>15256.635504161201</v>
      </c>
      <c r="K95" s="3">
        <v>16182.75</v>
      </c>
    </row>
    <row r="96" spans="1:11" x14ac:dyDescent="0.2">
      <c r="A96">
        <v>134</v>
      </c>
      <c r="B96">
        <v>2015</v>
      </c>
      <c r="C96" t="s">
        <v>8</v>
      </c>
      <c r="D96" t="s">
        <v>20</v>
      </c>
      <c r="E96" t="s">
        <v>312</v>
      </c>
      <c r="F96">
        <v>19976</v>
      </c>
      <c r="G96">
        <v>0</v>
      </c>
      <c r="H96">
        <v>6777.7544300870004</v>
      </c>
      <c r="I96">
        <v>5870.55</v>
      </c>
      <c r="J96" s="3">
        <v>13198.245569913001</v>
      </c>
      <c r="K96" s="3">
        <v>14105.45</v>
      </c>
    </row>
    <row r="97" spans="1:11" x14ac:dyDescent="0.2">
      <c r="A97">
        <v>137</v>
      </c>
      <c r="B97">
        <v>2016</v>
      </c>
      <c r="C97" t="s">
        <v>8</v>
      </c>
      <c r="D97" t="s">
        <v>20</v>
      </c>
      <c r="E97" t="s">
        <v>313</v>
      </c>
      <c r="F97">
        <v>15990</v>
      </c>
      <c r="G97">
        <v>0</v>
      </c>
      <c r="H97">
        <v>5354.9763969475998</v>
      </c>
      <c r="I97">
        <v>4779.25</v>
      </c>
      <c r="J97" s="3">
        <v>10635.023603052399</v>
      </c>
      <c r="K97" s="3">
        <v>11210.75</v>
      </c>
    </row>
    <row r="98" spans="1:11" x14ac:dyDescent="0.2">
      <c r="A98">
        <v>140</v>
      </c>
      <c r="B98">
        <v>2017</v>
      </c>
      <c r="C98" t="s">
        <v>8</v>
      </c>
      <c r="D98" t="s">
        <v>20</v>
      </c>
      <c r="E98" t="s">
        <v>314</v>
      </c>
      <c r="F98">
        <v>15014</v>
      </c>
      <c r="G98">
        <v>0</v>
      </c>
      <c r="H98">
        <v>4890.1119078743004</v>
      </c>
      <c r="I98">
        <v>4556.75</v>
      </c>
      <c r="J98" s="3">
        <v>10123.8880921257</v>
      </c>
      <c r="K98" s="3">
        <v>10457.25</v>
      </c>
    </row>
    <row r="99" spans="1:11" x14ac:dyDescent="0.2">
      <c r="A99">
        <v>143</v>
      </c>
      <c r="B99">
        <v>2018</v>
      </c>
      <c r="C99" t="s">
        <v>8</v>
      </c>
      <c r="D99" t="s">
        <v>20</v>
      </c>
      <c r="E99" t="s">
        <v>315</v>
      </c>
      <c r="F99">
        <v>11504</v>
      </c>
      <c r="G99">
        <v>0</v>
      </c>
      <c r="H99">
        <v>4499.8897227686002</v>
      </c>
      <c r="I99">
        <v>4358.6499999999996</v>
      </c>
      <c r="J99" s="3">
        <v>7004.1102772313998</v>
      </c>
      <c r="K99" s="3">
        <v>7145.35</v>
      </c>
    </row>
    <row r="100" spans="1:11" x14ac:dyDescent="0.2">
      <c r="A100">
        <v>146</v>
      </c>
      <c r="B100">
        <v>2019</v>
      </c>
      <c r="C100" t="s">
        <v>8</v>
      </c>
      <c r="D100" t="s">
        <v>20</v>
      </c>
      <c r="E100" t="s">
        <v>316</v>
      </c>
      <c r="F100">
        <v>14637</v>
      </c>
      <c r="G100">
        <v>0</v>
      </c>
      <c r="H100">
        <v>5463.4515966437002</v>
      </c>
      <c r="I100">
        <v>4798</v>
      </c>
      <c r="J100" s="3">
        <v>9173.5484033563007</v>
      </c>
      <c r="K100" s="3">
        <v>9839</v>
      </c>
    </row>
    <row r="101" spans="1:11" x14ac:dyDescent="0.2">
      <c r="A101">
        <v>149</v>
      </c>
      <c r="B101">
        <v>2020</v>
      </c>
      <c r="C101" t="s">
        <v>8</v>
      </c>
      <c r="D101" t="s">
        <v>20</v>
      </c>
      <c r="E101" t="s">
        <v>317</v>
      </c>
      <c r="F101">
        <v>9241</v>
      </c>
      <c r="G101">
        <v>0</v>
      </c>
      <c r="H101">
        <v>2562.8759234237</v>
      </c>
      <c r="I101">
        <v>2099.4</v>
      </c>
      <c r="J101" s="3">
        <v>6678.1240765762996</v>
      </c>
      <c r="K101" s="3">
        <v>7141.6</v>
      </c>
    </row>
    <row r="102" spans="1:11" x14ac:dyDescent="0.2">
      <c r="A102">
        <v>3</v>
      </c>
      <c r="B102">
        <v>2011</v>
      </c>
      <c r="C102" t="s">
        <v>68</v>
      </c>
      <c r="D102" t="s">
        <v>9</v>
      </c>
      <c r="E102" t="s">
        <v>198</v>
      </c>
      <c r="F102">
        <v>768</v>
      </c>
      <c r="G102">
        <v>3.90625E-3</v>
      </c>
      <c r="H102">
        <v>523.49073157676003</v>
      </c>
      <c r="I102">
        <v>436.03</v>
      </c>
      <c r="J102" s="3">
        <v>243.55415409346199</v>
      </c>
      <c r="K102" s="3">
        <v>330.67324218750002</v>
      </c>
    </row>
    <row r="103" spans="1:11" x14ac:dyDescent="0.2">
      <c r="A103">
        <v>6</v>
      </c>
      <c r="B103">
        <v>2012</v>
      </c>
      <c r="C103" t="s">
        <v>68</v>
      </c>
      <c r="D103" t="s">
        <v>9</v>
      </c>
      <c r="E103" t="s">
        <v>199</v>
      </c>
      <c r="F103">
        <v>691</v>
      </c>
      <c r="G103">
        <v>0</v>
      </c>
      <c r="H103">
        <v>503.03135610205999</v>
      </c>
      <c r="I103">
        <v>431.51</v>
      </c>
      <c r="J103" s="3">
        <v>187.96864389794001</v>
      </c>
      <c r="K103" s="3">
        <v>259.49</v>
      </c>
    </row>
    <row r="104" spans="1:11" x14ac:dyDescent="0.2">
      <c r="A104">
        <v>9</v>
      </c>
      <c r="B104">
        <v>2013</v>
      </c>
      <c r="C104" t="s">
        <v>68</v>
      </c>
      <c r="D104" t="s">
        <v>9</v>
      </c>
      <c r="E104" t="s">
        <v>200</v>
      </c>
      <c r="F104">
        <v>842</v>
      </c>
      <c r="G104">
        <v>0</v>
      </c>
      <c r="H104">
        <v>499.11732515305999</v>
      </c>
      <c r="I104">
        <v>400.35</v>
      </c>
      <c r="J104" s="3">
        <v>342.88267484694001</v>
      </c>
      <c r="K104" s="3">
        <v>441.65</v>
      </c>
    </row>
    <row r="105" spans="1:11" x14ac:dyDescent="0.2">
      <c r="A105">
        <v>12</v>
      </c>
      <c r="B105">
        <v>2014</v>
      </c>
      <c r="C105" t="s">
        <v>68</v>
      </c>
      <c r="D105" t="s">
        <v>9</v>
      </c>
      <c r="E105" t="s">
        <v>201</v>
      </c>
      <c r="F105">
        <v>802</v>
      </c>
      <c r="G105">
        <v>0</v>
      </c>
      <c r="H105">
        <v>520.17997777096002</v>
      </c>
      <c r="I105">
        <v>403</v>
      </c>
      <c r="J105" s="3">
        <v>281.82002222903998</v>
      </c>
      <c r="K105" s="3">
        <v>399</v>
      </c>
    </row>
    <row r="106" spans="1:11" x14ac:dyDescent="0.2">
      <c r="A106">
        <v>15</v>
      </c>
      <c r="B106">
        <v>2015</v>
      </c>
      <c r="C106" t="s">
        <v>68</v>
      </c>
      <c r="D106" t="s">
        <v>9</v>
      </c>
      <c r="E106" t="s">
        <v>202</v>
      </c>
      <c r="F106">
        <v>399</v>
      </c>
      <c r="G106">
        <v>0.29573934837092702</v>
      </c>
      <c r="H106">
        <v>242.938009593</v>
      </c>
      <c r="I106">
        <v>172.5</v>
      </c>
      <c r="J106" s="3">
        <v>109.908319058564</v>
      </c>
      <c r="K106" s="3">
        <v>159.515037593985</v>
      </c>
    </row>
    <row r="107" spans="1:11" x14ac:dyDescent="0.2">
      <c r="A107">
        <v>18</v>
      </c>
      <c r="B107">
        <v>2016</v>
      </c>
      <c r="C107" t="s">
        <v>68</v>
      </c>
      <c r="D107" t="s">
        <v>9</v>
      </c>
      <c r="E107" t="s">
        <v>203</v>
      </c>
      <c r="F107">
        <v>370</v>
      </c>
      <c r="G107">
        <v>0</v>
      </c>
      <c r="H107">
        <v>192.19927911724</v>
      </c>
      <c r="I107">
        <v>134.66999999999999</v>
      </c>
      <c r="J107" s="3">
        <v>177.80072088276</v>
      </c>
      <c r="K107" s="3">
        <v>235.33</v>
      </c>
    </row>
    <row r="108" spans="1:11" x14ac:dyDescent="0.2">
      <c r="A108">
        <v>21</v>
      </c>
      <c r="B108">
        <v>2017</v>
      </c>
      <c r="C108" t="s">
        <v>68</v>
      </c>
      <c r="D108" t="s">
        <v>9</v>
      </c>
      <c r="E108" t="s">
        <v>204</v>
      </c>
      <c r="F108">
        <v>423</v>
      </c>
      <c r="G108">
        <v>0</v>
      </c>
      <c r="H108">
        <v>222.56164200489999</v>
      </c>
      <c r="I108">
        <v>165.5</v>
      </c>
      <c r="J108" s="3">
        <v>200.43835799510001</v>
      </c>
      <c r="K108" s="3">
        <v>257.5</v>
      </c>
    </row>
    <row r="109" spans="1:11" x14ac:dyDescent="0.2">
      <c r="A109">
        <v>24</v>
      </c>
      <c r="B109">
        <v>2018</v>
      </c>
      <c r="C109" t="s">
        <v>68</v>
      </c>
      <c r="D109" t="s">
        <v>9</v>
      </c>
      <c r="E109" t="s">
        <v>205</v>
      </c>
      <c r="F109">
        <v>320</v>
      </c>
      <c r="G109">
        <v>0</v>
      </c>
      <c r="H109">
        <v>204.74709829529999</v>
      </c>
      <c r="I109">
        <v>111.85</v>
      </c>
      <c r="J109" s="3">
        <v>115.25290170469999</v>
      </c>
      <c r="K109" s="3">
        <v>208.15</v>
      </c>
    </row>
    <row r="110" spans="1:11" x14ac:dyDescent="0.2">
      <c r="A110">
        <v>27</v>
      </c>
      <c r="B110">
        <v>2019</v>
      </c>
      <c r="C110" t="s">
        <v>68</v>
      </c>
      <c r="D110" t="s">
        <v>9</v>
      </c>
      <c r="E110" t="s">
        <v>206</v>
      </c>
      <c r="F110">
        <v>331</v>
      </c>
      <c r="G110">
        <v>0</v>
      </c>
      <c r="H110">
        <v>179.77411102932001</v>
      </c>
      <c r="I110">
        <v>109.5</v>
      </c>
      <c r="J110" s="3">
        <v>151.22588897067999</v>
      </c>
      <c r="K110" s="3">
        <v>221.5</v>
      </c>
    </row>
    <row r="111" spans="1:11" x14ac:dyDescent="0.2">
      <c r="A111">
        <v>30</v>
      </c>
      <c r="B111">
        <v>2020</v>
      </c>
      <c r="C111" t="s">
        <v>68</v>
      </c>
      <c r="D111" t="s">
        <v>9</v>
      </c>
      <c r="E111" t="s">
        <v>207</v>
      </c>
      <c r="F111">
        <v>346</v>
      </c>
      <c r="G111">
        <v>0</v>
      </c>
      <c r="H111">
        <v>225.05300347258</v>
      </c>
      <c r="I111">
        <v>102.88</v>
      </c>
      <c r="J111" s="3">
        <v>120.94699652742</v>
      </c>
      <c r="K111" s="3">
        <v>243.12</v>
      </c>
    </row>
    <row r="112" spans="1:11" x14ac:dyDescent="0.2">
      <c r="A112">
        <v>33</v>
      </c>
      <c r="B112">
        <v>2011</v>
      </c>
      <c r="C112" t="s">
        <v>68</v>
      </c>
      <c r="D112" t="s">
        <v>53</v>
      </c>
      <c r="E112" t="s">
        <v>228</v>
      </c>
      <c r="F112">
        <v>769</v>
      </c>
      <c r="G112">
        <v>0.162548764629389</v>
      </c>
      <c r="H112">
        <v>663.33778046094005</v>
      </c>
      <c r="I112">
        <v>549.28</v>
      </c>
      <c r="J112" s="3">
        <v>88.486956284986604</v>
      </c>
      <c r="K112" s="3">
        <v>184.00478543563099</v>
      </c>
    </row>
    <row r="113" spans="1:11" x14ac:dyDescent="0.2">
      <c r="A113">
        <v>36</v>
      </c>
      <c r="B113">
        <v>2012</v>
      </c>
      <c r="C113" t="s">
        <v>68</v>
      </c>
      <c r="D113" t="s">
        <v>53</v>
      </c>
      <c r="E113" t="s">
        <v>229</v>
      </c>
      <c r="F113">
        <v>677</v>
      </c>
      <c r="G113">
        <v>0.73855243722304298</v>
      </c>
      <c r="H113">
        <v>550.89290623417003</v>
      </c>
      <c r="I113">
        <v>456.63</v>
      </c>
      <c r="J113" s="3">
        <v>32.970392313961497</v>
      </c>
      <c r="K113" s="3">
        <v>57.615199409158002</v>
      </c>
    </row>
    <row r="114" spans="1:11" x14ac:dyDescent="0.2">
      <c r="A114">
        <v>39</v>
      </c>
      <c r="B114">
        <v>2013</v>
      </c>
      <c r="C114" t="s">
        <v>68</v>
      </c>
      <c r="D114" t="s">
        <v>53</v>
      </c>
      <c r="E114" t="s">
        <v>230</v>
      </c>
      <c r="F114">
        <v>806</v>
      </c>
      <c r="G114">
        <v>0.95</v>
      </c>
      <c r="H114">
        <v>708.03946673162</v>
      </c>
      <c r="I114">
        <v>606.69000000000005</v>
      </c>
      <c r="J114" s="3">
        <v>4.8980266634190004</v>
      </c>
      <c r="K114" s="3">
        <v>9.9655000000000094</v>
      </c>
    </row>
    <row r="115" spans="1:11" x14ac:dyDescent="0.2">
      <c r="A115">
        <v>42</v>
      </c>
      <c r="B115">
        <v>2014</v>
      </c>
      <c r="C115" t="s">
        <v>68</v>
      </c>
      <c r="D115" t="s">
        <v>53</v>
      </c>
      <c r="E115" t="s">
        <v>231</v>
      </c>
      <c r="F115">
        <v>570</v>
      </c>
      <c r="G115">
        <v>0</v>
      </c>
      <c r="H115">
        <v>357.42277276549999</v>
      </c>
      <c r="I115">
        <v>267</v>
      </c>
      <c r="J115" s="3">
        <v>212.57722723449999</v>
      </c>
      <c r="K115" s="3">
        <v>303</v>
      </c>
    </row>
    <row r="116" spans="1:11" x14ac:dyDescent="0.2">
      <c r="A116">
        <v>45</v>
      </c>
      <c r="B116">
        <v>2015</v>
      </c>
      <c r="C116" t="s">
        <v>68</v>
      </c>
      <c r="D116" t="s">
        <v>53</v>
      </c>
      <c r="E116" t="s">
        <v>232</v>
      </c>
      <c r="F116">
        <v>655</v>
      </c>
      <c r="G116">
        <v>0</v>
      </c>
      <c r="H116">
        <v>570.10719604744997</v>
      </c>
      <c r="I116">
        <v>462.5</v>
      </c>
      <c r="J116" s="3">
        <v>84.892803952549997</v>
      </c>
      <c r="K116" s="3">
        <v>192.5</v>
      </c>
    </row>
    <row r="117" spans="1:11" x14ac:dyDescent="0.2">
      <c r="A117">
        <v>48</v>
      </c>
      <c r="B117">
        <v>2016</v>
      </c>
      <c r="C117" t="s">
        <v>68</v>
      </c>
      <c r="D117" t="s">
        <v>53</v>
      </c>
      <c r="E117" t="s">
        <v>233</v>
      </c>
      <c r="F117">
        <v>861</v>
      </c>
      <c r="G117">
        <v>0</v>
      </c>
      <c r="H117">
        <v>687.14154905214002</v>
      </c>
      <c r="I117">
        <v>591.02</v>
      </c>
      <c r="J117" s="3">
        <v>173.85845094786001</v>
      </c>
      <c r="K117" s="3">
        <v>269.98</v>
      </c>
    </row>
    <row r="118" spans="1:11" x14ac:dyDescent="0.2">
      <c r="A118">
        <v>51</v>
      </c>
      <c r="B118">
        <v>2017</v>
      </c>
      <c r="C118" t="s">
        <v>68</v>
      </c>
      <c r="D118" t="s">
        <v>53</v>
      </c>
      <c r="E118" t="s">
        <v>234</v>
      </c>
      <c r="F118">
        <v>647</v>
      </c>
      <c r="G118">
        <v>0</v>
      </c>
      <c r="H118">
        <v>566.0312398241</v>
      </c>
      <c r="I118">
        <v>394.51</v>
      </c>
      <c r="J118" s="3">
        <v>80.968760175900002</v>
      </c>
      <c r="K118" s="3">
        <v>252.49</v>
      </c>
    </row>
    <row r="119" spans="1:11" x14ac:dyDescent="0.2">
      <c r="A119">
        <v>54</v>
      </c>
      <c r="B119">
        <v>2018</v>
      </c>
      <c r="C119" t="s">
        <v>68</v>
      </c>
      <c r="D119" t="s">
        <v>53</v>
      </c>
      <c r="E119" t="s">
        <v>235</v>
      </c>
      <c r="F119">
        <v>586</v>
      </c>
      <c r="G119">
        <v>0</v>
      </c>
      <c r="H119">
        <v>445.9744008175</v>
      </c>
      <c r="I119">
        <v>348.86</v>
      </c>
      <c r="J119" s="3">
        <v>140.0255991825</v>
      </c>
      <c r="K119" s="3">
        <v>237.14</v>
      </c>
    </row>
    <row r="120" spans="1:11" x14ac:dyDescent="0.2">
      <c r="A120">
        <v>57</v>
      </c>
      <c r="B120">
        <v>2019</v>
      </c>
      <c r="C120" t="s">
        <v>68</v>
      </c>
      <c r="D120" t="s">
        <v>53</v>
      </c>
      <c r="E120" t="s">
        <v>236</v>
      </c>
      <c r="F120">
        <v>714</v>
      </c>
      <c r="G120">
        <v>0</v>
      </c>
      <c r="H120">
        <v>534.00472448172002</v>
      </c>
      <c r="I120">
        <v>493.02</v>
      </c>
      <c r="J120" s="3">
        <v>179.99527551828001</v>
      </c>
      <c r="K120" s="3">
        <v>220.98</v>
      </c>
    </row>
    <row r="121" spans="1:11" x14ac:dyDescent="0.2">
      <c r="A121">
        <v>60</v>
      </c>
      <c r="B121">
        <v>2020</v>
      </c>
      <c r="C121" t="s">
        <v>68</v>
      </c>
      <c r="D121" t="s">
        <v>53</v>
      </c>
      <c r="E121" t="s">
        <v>237</v>
      </c>
      <c r="F121">
        <v>373</v>
      </c>
      <c r="G121">
        <v>0</v>
      </c>
      <c r="H121">
        <v>300.00043571549998</v>
      </c>
      <c r="I121">
        <v>214.19</v>
      </c>
      <c r="J121" s="3">
        <v>72.999564284499996</v>
      </c>
      <c r="K121" s="3">
        <v>158.81</v>
      </c>
    </row>
    <row r="122" spans="1:11" x14ac:dyDescent="0.2">
      <c r="A122">
        <v>63</v>
      </c>
      <c r="B122">
        <v>2011</v>
      </c>
      <c r="C122" t="s">
        <v>68</v>
      </c>
      <c r="D122" t="s">
        <v>31</v>
      </c>
      <c r="E122" t="s">
        <v>258</v>
      </c>
      <c r="F122">
        <v>1971</v>
      </c>
      <c r="G122">
        <v>2.2831050228310501E-2</v>
      </c>
      <c r="H122">
        <v>998.25655017099996</v>
      </c>
      <c r="I122">
        <v>815.12</v>
      </c>
      <c r="J122" s="3">
        <v>950.53469526669403</v>
      </c>
      <c r="K122" s="3">
        <v>1129.4900456621001</v>
      </c>
    </row>
    <row r="123" spans="1:11" x14ac:dyDescent="0.2">
      <c r="A123">
        <v>66</v>
      </c>
      <c r="B123">
        <v>2012</v>
      </c>
      <c r="C123" t="s">
        <v>68</v>
      </c>
      <c r="D123" t="s">
        <v>31</v>
      </c>
      <c r="E123" t="s">
        <v>259</v>
      </c>
      <c r="F123">
        <v>2082</v>
      </c>
      <c r="G123">
        <v>5.5235350624399597E-2</v>
      </c>
      <c r="H123">
        <v>916.38567274591003</v>
      </c>
      <c r="I123">
        <v>674.63</v>
      </c>
      <c r="J123" s="3">
        <v>1101.23121119539</v>
      </c>
      <c r="K123" s="3">
        <v>1329.6334245917401</v>
      </c>
    </row>
    <row r="124" spans="1:11" x14ac:dyDescent="0.2">
      <c r="A124">
        <v>69</v>
      </c>
      <c r="B124">
        <v>2013</v>
      </c>
      <c r="C124" t="s">
        <v>68</v>
      </c>
      <c r="D124" t="s">
        <v>31</v>
      </c>
      <c r="E124" t="s">
        <v>260</v>
      </c>
      <c r="F124">
        <v>2122</v>
      </c>
      <c r="G124">
        <v>0.43261074458058402</v>
      </c>
      <c r="H124">
        <v>1784.02757766125</v>
      </c>
      <c r="I124">
        <v>1451</v>
      </c>
      <c r="J124" s="3">
        <v>191.76192106308</v>
      </c>
      <c r="K124" s="3">
        <v>380.71819038642798</v>
      </c>
    </row>
    <row r="125" spans="1:11" x14ac:dyDescent="0.2">
      <c r="A125">
        <v>72</v>
      </c>
      <c r="B125">
        <v>2014</v>
      </c>
      <c r="C125" t="s">
        <v>68</v>
      </c>
      <c r="D125" t="s">
        <v>31</v>
      </c>
      <c r="E125" t="s">
        <v>261</v>
      </c>
      <c r="F125">
        <v>1934</v>
      </c>
      <c r="G125">
        <v>0</v>
      </c>
      <c r="H125">
        <v>1611.7019404590201</v>
      </c>
      <c r="I125">
        <v>1368.57</v>
      </c>
      <c r="J125" s="3">
        <v>322.29805954097998</v>
      </c>
      <c r="K125" s="3">
        <v>565.42999999999995</v>
      </c>
    </row>
    <row r="126" spans="1:11" x14ac:dyDescent="0.2">
      <c r="A126">
        <v>75</v>
      </c>
      <c r="B126">
        <v>2015</v>
      </c>
      <c r="C126" t="s">
        <v>68</v>
      </c>
      <c r="D126" t="s">
        <v>31</v>
      </c>
      <c r="E126" t="s">
        <v>262</v>
      </c>
      <c r="F126">
        <v>2036</v>
      </c>
      <c r="G126">
        <v>0</v>
      </c>
      <c r="H126">
        <v>1148.66164043962</v>
      </c>
      <c r="I126">
        <v>879.82</v>
      </c>
      <c r="J126" s="3">
        <v>887.33835956038001</v>
      </c>
      <c r="K126" s="3">
        <v>1156.18</v>
      </c>
    </row>
    <row r="127" spans="1:11" x14ac:dyDescent="0.2">
      <c r="A127">
        <v>78</v>
      </c>
      <c r="B127">
        <v>2016</v>
      </c>
      <c r="C127" t="s">
        <v>68</v>
      </c>
      <c r="D127" t="s">
        <v>31</v>
      </c>
      <c r="E127" t="s">
        <v>263</v>
      </c>
      <c r="F127">
        <v>2092</v>
      </c>
      <c r="G127">
        <v>0</v>
      </c>
      <c r="H127">
        <v>1062.87121166728</v>
      </c>
      <c r="I127">
        <v>864.27</v>
      </c>
      <c r="J127" s="3">
        <v>1029.12878833272</v>
      </c>
      <c r="K127" s="3">
        <v>1227.73</v>
      </c>
    </row>
    <row r="128" spans="1:11" x14ac:dyDescent="0.2">
      <c r="A128">
        <v>81</v>
      </c>
      <c r="B128">
        <v>2017</v>
      </c>
      <c r="C128" t="s">
        <v>68</v>
      </c>
      <c r="D128" t="s">
        <v>31</v>
      </c>
      <c r="E128" t="s">
        <v>264</v>
      </c>
      <c r="F128">
        <v>1493</v>
      </c>
      <c r="G128">
        <v>0</v>
      </c>
      <c r="H128">
        <v>913.38309255471995</v>
      </c>
      <c r="I128">
        <v>714.18</v>
      </c>
      <c r="J128" s="3">
        <v>579.61690744528005</v>
      </c>
      <c r="K128" s="3">
        <v>778.82</v>
      </c>
    </row>
    <row r="129" spans="1:11" x14ac:dyDescent="0.2">
      <c r="A129">
        <v>84</v>
      </c>
      <c r="B129">
        <v>2018</v>
      </c>
      <c r="C129" t="s">
        <v>68</v>
      </c>
      <c r="D129" t="s">
        <v>31</v>
      </c>
      <c r="E129" t="s">
        <v>265</v>
      </c>
      <c r="F129">
        <v>2100</v>
      </c>
      <c r="G129">
        <v>0</v>
      </c>
      <c r="H129">
        <v>916.49394299509004</v>
      </c>
      <c r="I129">
        <v>716.65</v>
      </c>
      <c r="J129" s="3">
        <v>1183.50605700491</v>
      </c>
      <c r="K129" s="3">
        <v>1383.35</v>
      </c>
    </row>
    <row r="130" spans="1:11" x14ac:dyDescent="0.2">
      <c r="A130">
        <v>87</v>
      </c>
      <c r="B130">
        <v>2019</v>
      </c>
      <c r="C130" t="s">
        <v>68</v>
      </c>
      <c r="D130" t="s">
        <v>31</v>
      </c>
      <c r="E130" t="s">
        <v>266</v>
      </c>
      <c r="F130">
        <v>1696</v>
      </c>
      <c r="G130">
        <v>0</v>
      </c>
      <c r="H130">
        <v>865.16307867885996</v>
      </c>
      <c r="I130">
        <v>707.24</v>
      </c>
      <c r="J130" s="3">
        <v>830.83692132114004</v>
      </c>
      <c r="K130" s="3">
        <v>988.76</v>
      </c>
    </row>
    <row r="131" spans="1:11" x14ac:dyDescent="0.2">
      <c r="A131">
        <v>90</v>
      </c>
      <c r="B131">
        <v>2020</v>
      </c>
      <c r="C131" t="s">
        <v>68</v>
      </c>
      <c r="D131" t="s">
        <v>31</v>
      </c>
      <c r="E131" t="s">
        <v>267</v>
      </c>
      <c r="F131">
        <v>1641</v>
      </c>
      <c r="G131">
        <v>0</v>
      </c>
      <c r="H131">
        <v>823.81780464129997</v>
      </c>
      <c r="I131">
        <v>732.85</v>
      </c>
      <c r="J131" s="3">
        <v>817.18219535870003</v>
      </c>
      <c r="K131" s="3">
        <v>908.15</v>
      </c>
    </row>
    <row r="132" spans="1:11" x14ac:dyDescent="0.2">
      <c r="A132">
        <v>93</v>
      </c>
      <c r="B132">
        <v>2011</v>
      </c>
      <c r="C132" t="s">
        <v>68</v>
      </c>
      <c r="D132" t="s">
        <v>42</v>
      </c>
      <c r="E132" t="s">
        <v>288</v>
      </c>
      <c r="F132">
        <v>3672</v>
      </c>
      <c r="G132">
        <v>0</v>
      </c>
      <c r="H132">
        <v>3247.66903019964</v>
      </c>
      <c r="I132">
        <v>2891.46</v>
      </c>
      <c r="J132" s="3">
        <v>424.33096980035998</v>
      </c>
      <c r="K132" s="3">
        <v>780.54</v>
      </c>
    </row>
    <row r="133" spans="1:11" x14ac:dyDescent="0.2">
      <c r="A133">
        <v>96</v>
      </c>
      <c r="B133">
        <v>2012</v>
      </c>
      <c r="C133" t="s">
        <v>68</v>
      </c>
      <c r="D133" t="s">
        <v>42</v>
      </c>
      <c r="E133" t="s">
        <v>289</v>
      </c>
      <c r="F133">
        <v>1742</v>
      </c>
      <c r="G133">
        <v>7.8071182548794499E-2</v>
      </c>
      <c r="H133">
        <v>1096.4670947258501</v>
      </c>
      <c r="I133">
        <v>844.08</v>
      </c>
      <c r="J133" s="3">
        <v>595.13538798523803</v>
      </c>
      <c r="K133" s="3">
        <v>827.81832376578598</v>
      </c>
    </row>
    <row r="134" spans="1:11" x14ac:dyDescent="0.2">
      <c r="A134">
        <v>99</v>
      </c>
      <c r="B134">
        <v>2013</v>
      </c>
      <c r="C134" t="s">
        <v>68</v>
      </c>
      <c r="D134" t="s">
        <v>42</v>
      </c>
      <c r="E134" t="s">
        <v>290</v>
      </c>
      <c r="F134">
        <v>2372</v>
      </c>
      <c r="G134">
        <v>0</v>
      </c>
      <c r="H134">
        <v>2301.83562476003</v>
      </c>
      <c r="I134">
        <v>1766.63</v>
      </c>
      <c r="J134" s="3">
        <v>70.164375239969999</v>
      </c>
      <c r="K134" s="3">
        <v>605.37</v>
      </c>
    </row>
    <row r="135" spans="1:11" x14ac:dyDescent="0.2">
      <c r="A135">
        <v>102</v>
      </c>
      <c r="B135">
        <v>2014</v>
      </c>
      <c r="C135" t="s">
        <v>68</v>
      </c>
      <c r="D135" t="s">
        <v>42</v>
      </c>
      <c r="E135" t="s">
        <v>291</v>
      </c>
      <c r="F135">
        <v>1505</v>
      </c>
      <c r="G135">
        <v>0</v>
      </c>
      <c r="H135">
        <v>898.66921207500002</v>
      </c>
      <c r="I135">
        <v>718.5</v>
      </c>
      <c r="J135" s="3">
        <v>606.33078792499998</v>
      </c>
      <c r="K135" s="3">
        <v>786.5</v>
      </c>
    </row>
    <row r="136" spans="1:11" x14ac:dyDescent="0.2">
      <c r="A136">
        <v>105</v>
      </c>
      <c r="B136">
        <v>2015</v>
      </c>
      <c r="C136" t="s">
        <v>68</v>
      </c>
      <c r="D136" t="s">
        <v>42</v>
      </c>
      <c r="E136" t="s">
        <v>292</v>
      </c>
      <c r="F136">
        <v>3277</v>
      </c>
      <c r="G136">
        <v>0</v>
      </c>
      <c r="H136">
        <v>2828.0264074607098</v>
      </c>
      <c r="I136">
        <v>2541.15</v>
      </c>
      <c r="J136" s="3">
        <v>448.97359253929</v>
      </c>
      <c r="K136" s="3">
        <v>735.85</v>
      </c>
    </row>
    <row r="137" spans="1:11" x14ac:dyDescent="0.2">
      <c r="A137">
        <v>108</v>
      </c>
      <c r="B137">
        <v>2016</v>
      </c>
      <c r="C137" t="s">
        <v>68</v>
      </c>
      <c r="D137" t="s">
        <v>42</v>
      </c>
      <c r="E137" t="s">
        <v>293</v>
      </c>
      <c r="F137">
        <v>2033</v>
      </c>
      <c r="G137">
        <v>0</v>
      </c>
      <c r="H137">
        <v>1264.75046434978</v>
      </c>
      <c r="I137">
        <v>1065.5899999999999</v>
      </c>
      <c r="J137" s="3">
        <v>768.24953565021997</v>
      </c>
      <c r="K137" s="3">
        <v>967.41</v>
      </c>
    </row>
    <row r="138" spans="1:11" x14ac:dyDescent="0.2">
      <c r="A138">
        <v>111</v>
      </c>
      <c r="B138">
        <v>2017</v>
      </c>
      <c r="C138" t="s">
        <v>68</v>
      </c>
      <c r="D138" t="s">
        <v>42</v>
      </c>
      <c r="E138" t="s">
        <v>294</v>
      </c>
      <c r="F138">
        <v>3563</v>
      </c>
      <c r="G138">
        <v>0</v>
      </c>
      <c r="H138">
        <v>3305.6535451309201</v>
      </c>
      <c r="I138">
        <v>2985.35</v>
      </c>
      <c r="J138" s="3">
        <v>257.34645486907999</v>
      </c>
      <c r="K138" s="3">
        <v>577.65</v>
      </c>
    </row>
    <row r="139" spans="1:11" x14ac:dyDescent="0.2">
      <c r="A139">
        <v>114</v>
      </c>
      <c r="B139">
        <v>2018</v>
      </c>
      <c r="C139" t="s">
        <v>68</v>
      </c>
      <c r="D139" t="s">
        <v>42</v>
      </c>
      <c r="E139" t="s">
        <v>295</v>
      </c>
      <c r="F139">
        <v>1029</v>
      </c>
      <c r="G139">
        <v>0</v>
      </c>
      <c r="H139">
        <v>721.77733386318005</v>
      </c>
      <c r="I139">
        <v>524.51</v>
      </c>
      <c r="J139" s="3">
        <v>307.22266613682001</v>
      </c>
      <c r="K139" s="3">
        <v>504.49</v>
      </c>
    </row>
    <row r="140" spans="1:11" x14ac:dyDescent="0.2">
      <c r="A140">
        <v>117</v>
      </c>
      <c r="B140">
        <v>2019</v>
      </c>
      <c r="C140" t="s">
        <v>68</v>
      </c>
      <c r="D140" t="s">
        <v>42</v>
      </c>
      <c r="E140" t="s">
        <v>296</v>
      </c>
      <c r="F140">
        <v>1626</v>
      </c>
      <c r="G140">
        <v>1.230012300123E-2</v>
      </c>
      <c r="H140">
        <v>1182.02306546606</v>
      </c>
      <c r="I140">
        <v>847.25</v>
      </c>
      <c r="J140" s="3">
        <v>438.51596362946299</v>
      </c>
      <c r="K140" s="3">
        <v>769.171279212792</v>
      </c>
    </row>
    <row r="141" spans="1:11" x14ac:dyDescent="0.2">
      <c r="A141">
        <v>120</v>
      </c>
      <c r="B141">
        <v>2020</v>
      </c>
      <c r="C141" t="s">
        <v>68</v>
      </c>
      <c r="D141" t="s">
        <v>42</v>
      </c>
      <c r="E141" t="s">
        <v>297</v>
      </c>
      <c r="F141">
        <v>1883</v>
      </c>
      <c r="G141">
        <v>2.6553372278279301E-2</v>
      </c>
      <c r="H141">
        <v>1897.20185611894</v>
      </c>
      <c r="I141">
        <v>1393.74</v>
      </c>
      <c r="J141" s="3">
        <v>-13.8247489463712</v>
      </c>
      <c r="K141" s="3">
        <v>476.26849707912902</v>
      </c>
    </row>
    <row r="142" spans="1:11" x14ac:dyDescent="0.2">
      <c r="A142">
        <v>123</v>
      </c>
      <c r="B142">
        <v>2011</v>
      </c>
      <c r="C142" t="s">
        <v>68</v>
      </c>
      <c r="D142" t="s">
        <v>20</v>
      </c>
      <c r="E142" t="s">
        <v>318</v>
      </c>
      <c r="F142">
        <v>31387</v>
      </c>
      <c r="G142">
        <v>0</v>
      </c>
      <c r="H142">
        <v>15440.2311342292</v>
      </c>
      <c r="I142">
        <v>8919.5</v>
      </c>
      <c r="J142" s="3">
        <v>15946.7688657708</v>
      </c>
      <c r="K142" s="3">
        <v>22467.5</v>
      </c>
    </row>
    <row r="143" spans="1:11" x14ac:dyDescent="0.2">
      <c r="A143">
        <v>126</v>
      </c>
      <c r="B143">
        <v>2012</v>
      </c>
      <c r="C143" t="s">
        <v>68</v>
      </c>
      <c r="D143" t="s">
        <v>20</v>
      </c>
      <c r="E143" t="s">
        <v>319</v>
      </c>
      <c r="F143">
        <v>35882</v>
      </c>
      <c r="G143">
        <v>0</v>
      </c>
      <c r="H143">
        <v>18765.838166414898</v>
      </c>
      <c r="I143">
        <v>10701.9</v>
      </c>
      <c r="J143" s="3">
        <v>17116.161833585102</v>
      </c>
      <c r="K143" s="3">
        <v>25180.1</v>
      </c>
    </row>
    <row r="144" spans="1:11" x14ac:dyDescent="0.2">
      <c r="A144">
        <v>129</v>
      </c>
      <c r="B144">
        <v>2013</v>
      </c>
      <c r="C144" t="s">
        <v>68</v>
      </c>
      <c r="D144" t="s">
        <v>20</v>
      </c>
      <c r="E144" t="s">
        <v>320</v>
      </c>
      <c r="F144">
        <v>34061</v>
      </c>
      <c r="G144">
        <v>0</v>
      </c>
      <c r="H144">
        <v>17696.598868660501</v>
      </c>
      <c r="I144">
        <v>11149.8</v>
      </c>
      <c r="J144" s="3">
        <v>16364.4011313395</v>
      </c>
      <c r="K144" s="3">
        <v>22911.200000000001</v>
      </c>
    </row>
    <row r="145" spans="1:11" x14ac:dyDescent="0.2">
      <c r="A145">
        <v>132</v>
      </c>
      <c r="B145">
        <v>2014</v>
      </c>
      <c r="C145" t="s">
        <v>68</v>
      </c>
      <c r="D145" t="s">
        <v>20</v>
      </c>
      <c r="E145" t="s">
        <v>321</v>
      </c>
      <c r="F145">
        <v>31757</v>
      </c>
      <c r="G145">
        <v>0</v>
      </c>
      <c r="H145">
        <v>16441.5354709987</v>
      </c>
      <c r="I145">
        <v>11516.1</v>
      </c>
      <c r="J145" s="3">
        <v>15315.4645290013</v>
      </c>
      <c r="K145" s="3">
        <v>20240.900000000001</v>
      </c>
    </row>
    <row r="146" spans="1:11" x14ac:dyDescent="0.2">
      <c r="A146">
        <v>135</v>
      </c>
      <c r="B146">
        <v>2015</v>
      </c>
      <c r="C146" t="s">
        <v>68</v>
      </c>
      <c r="D146" t="s">
        <v>20</v>
      </c>
      <c r="E146" t="s">
        <v>322</v>
      </c>
      <c r="F146">
        <v>26061</v>
      </c>
      <c r="G146">
        <v>3.0313495261118099E-2</v>
      </c>
      <c r="H146">
        <v>12146.7063757696</v>
      </c>
      <c r="I146">
        <v>8346</v>
      </c>
      <c r="J146" s="3">
        <v>13492.5027503905</v>
      </c>
      <c r="K146" s="3">
        <v>17177.996431449301</v>
      </c>
    </row>
    <row r="147" spans="1:11" x14ac:dyDescent="0.2">
      <c r="A147">
        <v>138</v>
      </c>
      <c r="B147">
        <v>2016</v>
      </c>
      <c r="C147" t="s">
        <v>68</v>
      </c>
      <c r="D147" t="s">
        <v>20</v>
      </c>
      <c r="E147" t="s">
        <v>323</v>
      </c>
      <c r="F147">
        <v>31864</v>
      </c>
      <c r="G147">
        <v>0</v>
      </c>
      <c r="H147">
        <v>17965.9215633325</v>
      </c>
      <c r="I147">
        <v>12291.3</v>
      </c>
      <c r="J147" s="3">
        <v>13898.0784366675</v>
      </c>
      <c r="K147" s="3">
        <v>19572.7</v>
      </c>
    </row>
    <row r="148" spans="1:11" x14ac:dyDescent="0.2">
      <c r="A148">
        <v>141</v>
      </c>
      <c r="B148">
        <v>2017</v>
      </c>
      <c r="C148" t="s">
        <v>68</v>
      </c>
      <c r="D148" t="s">
        <v>20</v>
      </c>
      <c r="E148" t="s">
        <v>324</v>
      </c>
      <c r="F148">
        <v>24529</v>
      </c>
      <c r="G148">
        <v>0</v>
      </c>
      <c r="H148">
        <v>12516.5883968695</v>
      </c>
      <c r="I148">
        <v>7393.9</v>
      </c>
      <c r="J148" s="3">
        <v>12012.4116031305</v>
      </c>
      <c r="K148" s="3">
        <v>17135.099999999999</v>
      </c>
    </row>
    <row r="149" spans="1:11" x14ac:dyDescent="0.2">
      <c r="A149">
        <v>144</v>
      </c>
      <c r="B149">
        <v>2018</v>
      </c>
      <c r="C149" t="s">
        <v>68</v>
      </c>
      <c r="D149" t="s">
        <v>20</v>
      </c>
      <c r="E149" t="s">
        <v>325</v>
      </c>
      <c r="F149">
        <v>32975</v>
      </c>
      <c r="G149">
        <v>0</v>
      </c>
      <c r="H149">
        <v>20600.168238534799</v>
      </c>
      <c r="I149">
        <v>10724.9</v>
      </c>
      <c r="J149" s="3">
        <v>12374.831761465201</v>
      </c>
      <c r="K149" s="3">
        <v>22250.1</v>
      </c>
    </row>
    <row r="150" spans="1:11" x14ac:dyDescent="0.2">
      <c r="A150">
        <v>147</v>
      </c>
      <c r="B150">
        <v>2019</v>
      </c>
      <c r="C150" t="s">
        <v>68</v>
      </c>
      <c r="D150" t="s">
        <v>20</v>
      </c>
      <c r="E150" t="s">
        <v>326</v>
      </c>
      <c r="F150">
        <v>31841</v>
      </c>
      <c r="G150">
        <v>2.1827203919474899E-2</v>
      </c>
      <c r="H150">
        <v>18288.124203735701</v>
      </c>
      <c r="I150">
        <v>8357.7000000000007</v>
      </c>
      <c r="J150" s="3">
        <v>13257.054412563901</v>
      </c>
      <c r="K150" s="3">
        <v>22970.725222197801</v>
      </c>
    </row>
    <row r="151" spans="1:11" x14ac:dyDescent="0.2">
      <c r="A151">
        <v>150</v>
      </c>
      <c r="B151">
        <v>2020</v>
      </c>
      <c r="C151" t="s">
        <v>68</v>
      </c>
      <c r="D151" t="s">
        <v>20</v>
      </c>
      <c r="E151" t="s">
        <v>327</v>
      </c>
      <c r="F151">
        <v>20323</v>
      </c>
      <c r="G151">
        <v>3.6362741721202602E-2</v>
      </c>
      <c r="H151">
        <v>13015.4534436224</v>
      </c>
      <c r="I151">
        <v>7638.9</v>
      </c>
      <c r="J151" s="3">
        <v>7041.8241283323796</v>
      </c>
      <c r="K151" s="3">
        <v>12222.871347734101</v>
      </c>
    </row>
  </sheetData>
  <sortState xmlns:xlrd2="http://schemas.microsoft.com/office/spreadsheetml/2017/richdata2" ref="A2:K151">
    <sortCondition ref="C2:C15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5B31-4F88-40B9-BE3A-4D6DD5BBCDDC}">
  <dimension ref="A1:U151"/>
  <sheetViews>
    <sheetView zoomScale="130" zoomScaleNormal="130" workbookViewId="0">
      <selection activeCell="N2" sqref="N2:N11"/>
    </sheetView>
  </sheetViews>
  <sheetFormatPr baseColWidth="10" defaultColWidth="8.83203125" defaultRowHeight="15" x14ac:dyDescent="0.2"/>
  <cols>
    <col min="1" max="6" width="13.33203125" customWidth="1"/>
    <col min="7" max="7" width="13.33203125" style="81" customWidth="1"/>
    <col min="11" max="11" width="13" bestFit="1" customWidth="1"/>
    <col min="12" max="12" width="16.5" bestFit="1" customWidth="1"/>
    <col min="14" max="14" width="26.5" bestFit="1" customWidth="1"/>
    <col min="15" max="15" width="16.83203125" bestFit="1" customWidth="1"/>
    <col min="16" max="16" width="13.6640625" bestFit="1" customWidth="1"/>
    <col min="17" max="17" width="17.33203125" bestFit="1" customWidth="1"/>
    <col min="18" max="18" width="13.1640625" bestFit="1" customWidth="1"/>
    <col min="19" max="19" width="15.83203125" bestFit="1" customWidth="1"/>
    <col min="20" max="20" width="7.33203125" bestFit="1" customWidth="1"/>
    <col min="21" max="21" width="13.1640625" bestFit="1" customWidth="1"/>
  </cols>
  <sheetData>
    <row r="1" spans="1:17" ht="24" x14ac:dyDescent="0.2">
      <c r="A1" s="18" t="s">
        <v>0</v>
      </c>
      <c r="B1" s="18" t="s">
        <v>1</v>
      </c>
      <c r="C1" s="18" t="s">
        <v>175</v>
      </c>
      <c r="D1" s="18" t="s">
        <v>337</v>
      </c>
      <c r="E1" s="18" t="s">
        <v>382</v>
      </c>
      <c r="F1" s="18" t="s">
        <v>383</v>
      </c>
      <c r="G1" s="79" t="s">
        <v>467</v>
      </c>
      <c r="H1" s="22" t="s">
        <v>387</v>
      </c>
      <c r="I1" s="22" t="s">
        <v>355</v>
      </c>
      <c r="J1" s="22" t="s">
        <v>390</v>
      </c>
      <c r="K1" s="22" t="s">
        <v>388</v>
      </c>
      <c r="L1" s="22" t="s">
        <v>389</v>
      </c>
      <c r="N1" s="4" t="s">
        <v>357</v>
      </c>
      <c r="O1" t="s">
        <v>391</v>
      </c>
      <c r="P1" t="s">
        <v>398</v>
      </c>
      <c r="Q1" t="s">
        <v>399</v>
      </c>
    </row>
    <row r="2" spans="1:17" ht="16.5" customHeight="1" x14ac:dyDescent="0.2">
      <c r="A2" s="19" t="s">
        <v>341</v>
      </c>
      <c r="B2" s="19" t="s">
        <v>384</v>
      </c>
      <c r="C2" s="19" t="s">
        <v>330</v>
      </c>
      <c r="D2" s="19" t="s">
        <v>340</v>
      </c>
      <c r="E2" s="20">
        <v>11109</v>
      </c>
      <c r="F2" s="20">
        <v>225659.85</v>
      </c>
      <c r="G2" s="80">
        <f>F2/E2</f>
        <v>20.313246016743182</v>
      </c>
      <c r="H2" s="25">
        <v>3.0915141126493699</v>
      </c>
      <c r="I2">
        <v>0.52</v>
      </c>
      <c r="J2">
        <f t="shared" ref="J2:J33" si="0">E2*I2</f>
        <v>5776.68</v>
      </c>
      <c r="K2">
        <f t="shared" ref="K2:K33" si="1">F2*I2</f>
        <v>117343.122</v>
      </c>
      <c r="L2" s="21">
        <f>K2*H2</f>
        <v>362767.91768533678</v>
      </c>
      <c r="N2" s="7" t="s">
        <v>341</v>
      </c>
      <c r="O2" s="23">
        <v>154026632.88905221</v>
      </c>
      <c r="P2">
        <v>1.44</v>
      </c>
      <c r="Q2">
        <f>GETPIVOTDATA("Total exvessel $",$N$1,"Year","2011")*P2</f>
        <v>221798351.36023518</v>
      </c>
    </row>
    <row r="3" spans="1:17" ht="16.5" customHeight="1" x14ac:dyDescent="0.2">
      <c r="A3" s="19" t="s">
        <v>346</v>
      </c>
      <c r="B3" s="19" t="s">
        <v>384</v>
      </c>
      <c r="C3" s="19" t="s">
        <v>330</v>
      </c>
      <c r="D3" s="19" t="s">
        <v>340</v>
      </c>
      <c r="E3" s="20">
        <v>2547</v>
      </c>
      <c r="F3" s="20">
        <v>43282.89</v>
      </c>
      <c r="G3" s="80">
        <f t="shared" ref="G3:G66" si="2">F3/E3</f>
        <v>16.993674911660776</v>
      </c>
      <c r="H3" s="25">
        <v>3.3805517042714799</v>
      </c>
      <c r="I3">
        <v>0.52</v>
      </c>
      <c r="J3">
        <f t="shared" si="0"/>
        <v>1324.44</v>
      </c>
      <c r="K3">
        <f t="shared" si="1"/>
        <v>22507.102800000001</v>
      </c>
      <c r="L3" s="21">
        <f t="shared" ref="L3:L33" si="3">K3*H3</f>
        <v>76086.424728753394</v>
      </c>
      <c r="N3" s="7" t="s">
        <v>346</v>
      </c>
      <c r="O3" s="23">
        <v>91387475.267524481</v>
      </c>
      <c r="P3">
        <v>1.4</v>
      </c>
      <c r="Q3">
        <f>GETPIVOTDATA("Total exvessel $",$N$1,"Year","2012")*P3</f>
        <v>127942465.37453426</v>
      </c>
    </row>
    <row r="4" spans="1:17" ht="16.5" customHeight="1" x14ac:dyDescent="0.2">
      <c r="A4" s="19" t="s">
        <v>347</v>
      </c>
      <c r="B4" s="19" t="s">
        <v>384</v>
      </c>
      <c r="C4" s="19" t="s">
        <v>330</v>
      </c>
      <c r="D4" s="19" t="s">
        <v>340</v>
      </c>
      <c r="E4" s="20">
        <v>5490</v>
      </c>
      <c r="F4" s="20">
        <v>75992</v>
      </c>
      <c r="G4" s="80">
        <f t="shared" si="2"/>
        <v>13.841894353369764</v>
      </c>
      <c r="H4" s="25">
        <v>3.7200141645567402</v>
      </c>
      <c r="I4">
        <v>0.52</v>
      </c>
      <c r="J4">
        <f t="shared" si="0"/>
        <v>2854.8</v>
      </c>
      <c r="K4">
        <f t="shared" si="1"/>
        <v>39515.840000000004</v>
      </c>
      <c r="L4" s="21">
        <f t="shared" si="3"/>
        <v>146999.48452435783</v>
      </c>
      <c r="N4" s="7" t="s">
        <v>347</v>
      </c>
      <c r="O4" s="23">
        <v>200442665.77104262</v>
      </c>
      <c r="P4">
        <v>1.38</v>
      </c>
      <c r="Q4">
        <f>GETPIVOTDATA("Total exvessel $",$N$1,"Year","2013")*P4</f>
        <v>276610878.7640388</v>
      </c>
    </row>
    <row r="5" spans="1:17" ht="16.5" customHeight="1" x14ac:dyDescent="0.2">
      <c r="A5" s="19" t="s">
        <v>348</v>
      </c>
      <c r="B5" s="19" t="s">
        <v>384</v>
      </c>
      <c r="C5" s="19" t="s">
        <v>330</v>
      </c>
      <c r="D5" s="19" t="s">
        <v>340</v>
      </c>
      <c r="E5" s="20">
        <v>4694</v>
      </c>
      <c r="F5" s="20">
        <v>73856.75</v>
      </c>
      <c r="G5" s="80">
        <f t="shared" si="2"/>
        <v>15.734288453344695</v>
      </c>
      <c r="H5" s="25">
        <v>3.7457521823216999</v>
      </c>
      <c r="I5">
        <v>0.52</v>
      </c>
      <c r="J5">
        <f t="shared" si="0"/>
        <v>2440.88</v>
      </c>
      <c r="K5">
        <f t="shared" si="1"/>
        <v>38405.51</v>
      </c>
      <c r="L5" s="21">
        <f t="shared" si="3"/>
        <v>143857.52289567789</v>
      </c>
      <c r="N5" s="7" t="s">
        <v>348</v>
      </c>
      <c r="O5" s="23">
        <v>100259965.21435027</v>
      </c>
      <c r="P5">
        <v>1.36</v>
      </c>
      <c r="Q5">
        <f>GETPIVOTDATA("Total exvessel $",$N$1,"Year","2014")*P5</f>
        <v>136353552.69151637</v>
      </c>
    </row>
    <row r="6" spans="1:17" ht="16.5" customHeight="1" x14ac:dyDescent="0.2">
      <c r="A6" s="19" t="s">
        <v>349</v>
      </c>
      <c r="B6" s="19" t="s">
        <v>384</v>
      </c>
      <c r="C6" s="19" t="s">
        <v>330</v>
      </c>
      <c r="D6" s="19" t="s">
        <v>340</v>
      </c>
      <c r="E6" s="20">
        <v>10841</v>
      </c>
      <c r="F6" s="20">
        <v>181727.64</v>
      </c>
      <c r="G6" s="80">
        <f t="shared" si="2"/>
        <v>16.76299603357624</v>
      </c>
      <c r="H6" s="25">
        <v>2.8952416142261899</v>
      </c>
      <c r="I6">
        <v>0.52</v>
      </c>
      <c r="J6">
        <f t="shared" si="0"/>
        <v>5637.3200000000006</v>
      </c>
      <c r="K6">
        <f t="shared" si="1"/>
        <v>94498.372800000012</v>
      </c>
      <c r="L6" s="21">
        <f t="shared" si="3"/>
        <v>273595.62140722031</v>
      </c>
      <c r="N6" s="7" t="s">
        <v>349</v>
      </c>
      <c r="O6" s="23">
        <v>73070456.369084597</v>
      </c>
      <c r="P6">
        <v>1.36</v>
      </c>
      <c r="Q6">
        <f>GETPIVOTDATA("Total exvessel $",$N$1,"Year","2015")*P6</f>
        <v>99375820.661955059</v>
      </c>
    </row>
    <row r="7" spans="1:17" ht="16.5" customHeight="1" x14ac:dyDescent="0.2">
      <c r="A7" s="19" t="s">
        <v>350</v>
      </c>
      <c r="B7" s="19" t="s">
        <v>384</v>
      </c>
      <c r="C7" s="19" t="s">
        <v>330</v>
      </c>
      <c r="D7" s="19" t="s">
        <v>340</v>
      </c>
      <c r="E7" s="20">
        <v>10503</v>
      </c>
      <c r="F7" s="20">
        <v>191874.98980000001</v>
      </c>
      <c r="G7" s="80">
        <f t="shared" si="2"/>
        <v>18.268588955536515</v>
      </c>
      <c r="H7" s="25">
        <v>3.03809376963018</v>
      </c>
      <c r="I7">
        <v>0.52</v>
      </c>
      <c r="J7">
        <f t="shared" si="0"/>
        <v>5461.56</v>
      </c>
      <c r="K7">
        <f t="shared" si="1"/>
        <v>99774.994696000009</v>
      </c>
      <c r="L7" s="21">
        <f t="shared" si="3"/>
        <v>303125.78975080187</v>
      </c>
      <c r="N7" s="7" t="s">
        <v>350</v>
      </c>
      <c r="O7" s="23">
        <v>68417034.820509836</v>
      </c>
      <c r="P7">
        <v>1.34</v>
      </c>
      <c r="Q7">
        <f>GETPIVOTDATA("Total exvessel $",$N$1,"Year","2016")*P7</f>
        <v>91678826.659483179</v>
      </c>
    </row>
    <row r="8" spans="1:17" ht="16.5" customHeight="1" x14ac:dyDescent="0.2">
      <c r="A8" s="19" t="s">
        <v>351</v>
      </c>
      <c r="B8" s="19" t="s">
        <v>384</v>
      </c>
      <c r="C8" s="19" t="s">
        <v>330</v>
      </c>
      <c r="D8" s="19" t="s">
        <v>340</v>
      </c>
      <c r="E8" s="20">
        <v>8030</v>
      </c>
      <c r="F8" s="20">
        <v>175033.8395</v>
      </c>
      <c r="G8" s="80">
        <f t="shared" si="2"/>
        <v>21.797489352428393</v>
      </c>
      <c r="H8" s="25">
        <v>3.8601404001841</v>
      </c>
      <c r="I8">
        <v>0.52</v>
      </c>
      <c r="J8">
        <f t="shared" si="0"/>
        <v>4175.6000000000004</v>
      </c>
      <c r="K8">
        <f t="shared" si="1"/>
        <v>91017.596539999999</v>
      </c>
      <c r="L8" s="21">
        <f t="shared" si="3"/>
        <v>351340.70153171057</v>
      </c>
      <c r="N8" s="7" t="s">
        <v>351</v>
      </c>
      <c r="O8" s="23">
        <v>115255191.85593246</v>
      </c>
      <c r="P8">
        <v>1.31</v>
      </c>
      <c r="Q8">
        <f>GETPIVOTDATA("Total exvessel $",$N$1,"Year","2017")*P8</f>
        <v>150984301.33127153</v>
      </c>
    </row>
    <row r="9" spans="1:17" ht="16.5" customHeight="1" x14ac:dyDescent="0.2">
      <c r="A9" s="19" t="s">
        <v>352</v>
      </c>
      <c r="B9" s="19" t="s">
        <v>384</v>
      </c>
      <c r="C9" s="19" t="s">
        <v>330</v>
      </c>
      <c r="D9" s="19" t="s">
        <v>340</v>
      </c>
      <c r="E9" s="20">
        <v>3534</v>
      </c>
      <c r="F9" s="20">
        <v>48656.936900000001</v>
      </c>
      <c r="G9" s="80">
        <f t="shared" si="2"/>
        <v>13.768233418222977</v>
      </c>
      <c r="H9" s="25">
        <v>3.5624842050023799</v>
      </c>
      <c r="I9">
        <v>0.52</v>
      </c>
      <c r="J9">
        <f t="shared" si="0"/>
        <v>1837.68</v>
      </c>
      <c r="K9">
        <f t="shared" si="1"/>
        <v>25301.607188000002</v>
      </c>
      <c r="L9" s="21">
        <f t="shared" si="3"/>
        <v>90136.575968424688</v>
      </c>
      <c r="N9" s="7" t="s">
        <v>352</v>
      </c>
      <c r="O9" s="23">
        <v>68875865.11511907</v>
      </c>
      <c r="P9">
        <v>1.28</v>
      </c>
      <c r="Q9">
        <f>GETPIVOTDATA("Total exvessel $",$N$1,"Year","2018")*P9</f>
        <v>88161107.347352415</v>
      </c>
    </row>
    <row r="10" spans="1:17" ht="16.5" customHeight="1" x14ac:dyDescent="0.2">
      <c r="A10" s="19" t="s">
        <v>353</v>
      </c>
      <c r="B10" s="19" t="s">
        <v>384</v>
      </c>
      <c r="C10" s="19" t="s">
        <v>330</v>
      </c>
      <c r="D10" s="19" t="s">
        <v>340</v>
      </c>
      <c r="E10" s="20">
        <v>3625</v>
      </c>
      <c r="F10" s="20">
        <v>57269.316500000001</v>
      </c>
      <c r="G10" s="80">
        <f t="shared" si="2"/>
        <v>15.798432137931036</v>
      </c>
      <c r="H10" s="25">
        <v>3.5843576925553799</v>
      </c>
      <c r="I10">
        <v>0.52</v>
      </c>
      <c r="J10">
        <f t="shared" si="0"/>
        <v>1885</v>
      </c>
      <c r="K10">
        <f t="shared" si="1"/>
        <v>29780.044580000002</v>
      </c>
      <c r="L10" s="21">
        <f t="shared" si="3"/>
        <v>106742.33187496515</v>
      </c>
      <c r="N10" s="7" t="s">
        <v>353</v>
      </c>
      <c r="O10" s="23">
        <v>72840230.442141011</v>
      </c>
      <c r="P10">
        <v>1.26</v>
      </c>
      <c r="Q10">
        <f>GETPIVOTDATA("Total exvessel $",$N$1,"Year","2019")*P10</f>
        <v>91778690.35709767</v>
      </c>
    </row>
    <row r="11" spans="1:17" ht="16.5" customHeight="1" x14ac:dyDescent="0.2">
      <c r="A11" s="19" t="s">
        <v>354</v>
      </c>
      <c r="B11" s="19" t="s">
        <v>384</v>
      </c>
      <c r="C11" s="19" t="s">
        <v>330</v>
      </c>
      <c r="D11" s="19" t="s">
        <v>340</v>
      </c>
      <c r="E11" s="20">
        <v>3310</v>
      </c>
      <c r="F11" s="20">
        <v>41565.653599999998</v>
      </c>
      <c r="G11" s="80">
        <f t="shared" si="2"/>
        <v>12.55759927492447</v>
      </c>
      <c r="H11" s="25">
        <v>4.3285877610322796</v>
      </c>
      <c r="I11">
        <v>0.52</v>
      </c>
      <c r="J11">
        <f t="shared" si="0"/>
        <v>1721.2</v>
      </c>
      <c r="K11">
        <f t="shared" si="1"/>
        <v>21614.139872</v>
      </c>
      <c r="L11" s="21">
        <f t="shared" si="3"/>
        <v>93558.701315179002</v>
      </c>
      <c r="N11" s="7" t="s">
        <v>354</v>
      </c>
      <c r="O11" s="23">
        <v>35702899.13970755</v>
      </c>
      <c r="P11">
        <v>1.23</v>
      </c>
      <c r="Q11">
        <f>GETPIVOTDATA("Total exvessel $",$N$1,"Year","2020")*P11</f>
        <v>43914565.941840284</v>
      </c>
    </row>
    <row r="12" spans="1:17" ht="16.5" customHeight="1" x14ac:dyDescent="0.2">
      <c r="A12" s="19" t="s">
        <v>341</v>
      </c>
      <c r="B12" s="19" t="s">
        <v>384</v>
      </c>
      <c r="C12" s="19" t="s">
        <v>330</v>
      </c>
      <c r="D12" s="19" t="s">
        <v>342</v>
      </c>
      <c r="E12" s="20">
        <v>160871</v>
      </c>
      <c r="F12" s="20">
        <v>1073335</v>
      </c>
      <c r="G12" s="80">
        <f t="shared" si="2"/>
        <v>6.6720229252009373</v>
      </c>
      <c r="H12" s="25">
        <v>0.70105297125120003</v>
      </c>
      <c r="I12">
        <v>0.08</v>
      </c>
      <c r="J12">
        <f t="shared" si="0"/>
        <v>12869.68</v>
      </c>
      <c r="K12">
        <f t="shared" si="1"/>
        <v>85866.8</v>
      </c>
      <c r="L12" s="21">
        <f t="shared" si="3"/>
        <v>60197.175271832544</v>
      </c>
      <c r="N12" s="7" t="s">
        <v>332</v>
      </c>
    </row>
    <row r="13" spans="1:17" ht="16.5" customHeight="1" x14ac:dyDescent="0.2">
      <c r="A13" s="19" t="s">
        <v>346</v>
      </c>
      <c r="B13" s="19" t="s">
        <v>384</v>
      </c>
      <c r="C13" s="19" t="s">
        <v>330</v>
      </c>
      <c r="D13" s="19" t="s">
        <v>342</v>
      </c>
      <c r="E13" s="20">
        <v>326199</v>
      </c>
      <c r="F13" s="20">
        <v>2634416.7400000002</v>
      </c>
      <c r="G13" s="80">
        <f t="shared" si="2"/>
        <v>8.0761030536574303</v>
      </c>
      <c r="H13" s="25">
        <v>0.51098546797389199</v>
      </c>
      <c r="I13">
        <v>0.08</v>
      </c>
      <c r="J13">
        <f t="shared" si="0"/>
        <v>26095.920000000002</v>
      </c>
      <c r="K13">
        <f t="shared" si="1"/>
        <v>210753.33920000002</v>
      </c>
      <c r="L13" s="21">
        <f t="shared" si="3"/>
        <v>107691.8936581724</v>
      </c>
      <c r="N13" s="7" t="s">
        <v>358</v>
      </c>
      <c r="O13">
        <v>980278416.88446414</v>
      </c>
    </row>
    <row r="14" spans="1:17" ht="16.5" customHeight="1" x14ac:dyDescent="0.2">
      <c r="A14" s="19" t="s">
        <v>347</v>
      </c>
      <c r="B14" s="19" t="s">
        <v>384</v>
      </c>
      <c r="C14" s="19" t="s">
        <v>330</v>
      </c>
      <c r="D14" s="19" t="s">
        <v>342</v>
      </c>
      <c r="E14" s="20">
        <v>193714</v>
      </c>
      <c r="F14" s="20">
        <v>1439556</v>
      </c>
      <c r="G14" s="80">
        <f t="shared" si="2"/>
        <v>7.431347243874991</v>
      </c>
      <c r="H14" s="25">
        <v>0.49659162174565702</v>
      </c>
      <c r="I14">
        <v>0.08</v>
      </c>
      <c r="J14">
        <f t="shared" si="0"/>
        <v>15497.12</v>
      </c>
      <c r="K14">
        <f t="shared" si="1"/>
        <v>115164.48</v>
      </c>
      <c r="L14" s="21">
        <f t="shared" si="3"/>
        <v>57189.715890695283</v>
      </c>
      <c r="N14" s="24"/>
    </row>
    <row r="15" spans="1:17" ht="16.5" customHeight="1" x14ac:dyDescent="0.2">
      <c r="A15" s="19" t="s">
        <v>348</v>
      </c>
      <c r="B15" s="19" t="s">
        <v>384</v>
      </c>
      <c r="C15" s="19" t="s">
        <v>330</v>
      </c>
      <c r="D15" s="19" t="s">
        <v>342</v>
      </c>
      <c r="E15" s="20">
        <v>189914</v>
      </c>
      <c r="F15" s="20">
        <v>1397873.6571</v>
      </c>
      <c r="G15" s="80">
        <f t="shared" si="2"/>
        <v>7.3605613967374701</v>
      </c>
      <c r="H15" s="25">
        <v>0.56377465839566998</v>
      </c>
      <c r="I15">
        <v>0.08</v>
      </c>
      <c r="J15">
        <f t="shared" si="0"/>
        <v>15193.12</v>
      </c>
      <c r="K15">
        <f t="shared" si="1"/>
        <v>111829.892568</v>
      </c>
      <c r="L15" s="21">
        <f t="shared" si="3"/>
        <v>63046.859480948668</v>
      </c>
      <c r="N15" s="37" t="s">
        <v>392</v>
      </c>
      <c r="O15" s="38">
        <f>AVERAGE(O2:O11)</f>
        <v>98027841.688446417</v>
      </c>
      <c r="Q15" s="44">
        <f>AVERAGE(Q2:Q11)</f>
        <v>132859856.04893246</v>
      </c>
    </row>
    <row r="16" spans="1:17" ht="16.5" customHeight="1" x14ac:dyDescent="0.2">
      <c r="A16" s="19" t="s">
        <v>349</v>
      </c>
      <c r="B16" s="19" t="s">
        <v>384</v>
      </c>
      <c r="C16" s="19" t="s">
        <v>330</v>
      </c>
      <c r="D16" s="19" t="s">
        <v>342</v>
      </c>
      <c r="E16" s="20">
        <v>387874</v>
      </c>
      <c r="F16" s="20">
        <v>2548438.4552000002</v>
      </c>
      <c r="G16" s="80">
        <f t="shared" si="2"/>
        <v>6.5702739941321155</v>
      </c>
      <c r="H16" s="25">
        <v>0.43688312759835402</v>
      </c>
      <c r="I16">
        <v>0.08</v>
      </c>
      <c r="J16">
        <f t="shared" si="0"/>
        <v>31029.920000000002</v>
      </c>
      <c r="K16">
        <f t="shared" si="1"/>
        <v>203875.07641600003</v>
      </c>
      <c r="L16" s="21">
        <f t="shared" si="3"/>
        <v>89069.581023975508</v>
      </c>
    </row>
    <row r="17" spans="1:21" ht="16.5" customHeight="1" x14ac:dyDescent="0.2">
      <c r="A17" s="19" t="s">
        <v>350</v>
      </c>
      <c r="B17" s="19" t="s">
        <v>384</v>
      </c>
      <c r="C17" s="19" t="s">
        <v>330</v>
      </c>
      <c r="D17" s="19" t="s">
        <v>342</v>
      </c>
      <c r="E17" s="20">
        <v>197238</v>
      </c>
      <c r="F17" s="20">
        <v>1382633.5978999999</v>
      </c>
      <c r="G17" s="80">
        <f t="shared" si="2"/>
        <v>7.0099757546720198</v>
      </c>
      <c r="H17" s="25">
        <v>0.37787007984594301</v>
      </c>
      <c r="I17">
        <v>0.08</v>
      </c>
      <c r="J17">
        <f t="shared" si="0"/>
        <v>15779.04</v>
      </c>
      <c r="K17">
        <f t="shared" si="1"/>
        <v>110610.687832</v>
      </c>
      <c r="L17" s="21">
        <f t="shared" si="3"/>
        <v>41796.469442892514</v>
      </c>
      <c r="N17" s="4" t="s">
        <v>468</v>
      </c>
      <c r="O17" s="4" t="s">
        <v>469</v>
      </c>
    </row>
    <row r="18" spans="1:21" ht="16.5" customHeight="1" x14ac:dyDescent="0.2">
      <c r="A18" s="19" t="s">
        <v>351</v>
      </c>
      <c r="B18" s="19" t="s">
        <v>384</v>
      </c>
      <c r="C18" s="19" t="s">
        <v>330</v>
      </c>
      <c r="D18" s="19" t="s">
        <v>342</v>
      </c>
      <c r="E18" s="20">
        <v>441826</v>
      </c>
      <c r="F18" s="20">
        <v>3545701.3424</v>
      </c>
      <c r="G18" s="80">
        <f t="shared" si="2"/>
        <v>8.0251079438512001</v>
      </c>
      <c r="H18" s="25">
        <v>0.62588998957410802</v>
      </c>
      <c r="I18">
        <v>0.08</v>
      </c>
      <c r="J18">
        <f t="shared" si="0"/>
        <v>35346.080000000002</v>
      </c>
      <c r="K18">
        <f t="shared" si="1"/>
        <v>283656.10739199998</v>
      </c>
      <c r="L18" s="21">
        <f t="shared" si="3"/>
        <v>177537.51809821092</v>
      </c>
      <c r="N18" s="4" t="s">
        <v>357</v>
      </c>
      <c r="O18" t="s">
        <v>340</v>
      </c>
      <c r="P18" t="s">
        <v>342</v>
      </c>
      <c r="Q18" t="s">
        <v>343</v>
      </c>
      <c r="R18" t="s">
        <v>344</v>
      </c>
      <c r="S18" t="s">
        <v>345</v>
      </c>
      <c r="T18" t="s">
        <v>332</v>
      </c>
      <c r="U18" t="s">
        <v>358</v>
      </c>
    </row>
    <row r="19" spans="1:21" ht="16.5" customHeight="1" x14ac:dyDescent="0.2">
      <c r="A19" s="19" t="s">
        <v>352</v>
      </c>
      <c r="B19" s="19" t="s">
        <v>384</v>
      </c>
      <c r="C19" s="19" t="s">
        <v>330</v>
      </c>
      <c r="D19" s="19" t="s">
        <v>342</v>
      </c>
      <c r="E19" s="20">
        <v>164117</v>
      </c>
      <c r="F19" s="20">
        <v>1369231.9424000001</v>
      </c>
      <c r="G19" s="80">
        <f t="shared" si="2"/>
        <v>8.3430232236757931</v>
      </c>
      <c r="H19" s="25">
        <v>0.71547359322224602</v>
      </c>
      <c r="I19">
        <v>0.08</v>
      </c>
      <c r="J19">
        <f t="shared" si="0"/>
        <v>13129.36</v>
      </c>
      <c r="K19">
        <f t="shared" si="1"/>
        <v>109538.55539200001</v>
      </c>
      <c r="L19" s="21">
        <f t="shared" si="3"/>
        <v>78371.943822688278</v>
      </c>
      <c r="N19" s="7" t="s">
        <v>330</v>
      </c>
      <c r="O19">
        <v>17.422780231621186</v>
      </c>
      <c r="P19">
        <v>7.3379181693541451</v>
      </c>
      <c r="Q19">
        <v>7.1025961503512409</v>
      </c>
      <c r="R19">
        <v>3.4894605168896122</v>
      </c>
      <c r="S19">
        <v>5.6656406555809662</v>
      </c>
      <c r="U19">
        <v>8.2036791447594286</v>
      </c>
    </row>
    <row r="20" spans="1:21" ht="16.5" customHeight="1" x14ac:dyDescent="0.2">
      <c r="A20" s="19" t="s">
        <v>353</v>
      </c>
      <c r="B20" s="19" t="s">
        <v>384</v>
      </c>
      <c r="C20" s="19" t="s">
        <v>330</v>
      </c>
      <c r="D20" s="19" t="s">
        <v>342</v>
      </c>
      <c r="E20" s="20">
        <v>185470</v>
      </c>
      <c r="F20" s="20">
        <v>1281013.4674</v>
      </c>
      <c r="G20" s="80">
        <f t="shared" si="2"/>
        <v>6.906849988677414</v>
      </c>
      <c r="H20" s="25">
        <v>0.42393965621878699</v>
      </c>
      <c r="I20">
        <v>0.08</v>
      </c>
      <c r="J20">
        <f t="shared" si="0"/>
        <v>14837.6</v>
      </c>
      <c r="K20">
        <f t="shared" si="1"/>
        <v>102481.07739200001</v>
      </c>
      <c r="L20" s="21">
        <f t="shared" si="3"/>
        <v>43445.792718495388</v>
      </c>
      <c r="N20" s="7" t="s">
        <v>331</v>
      </c>
      <c r="O20">
        <v>13.87795857029659</v>
      </c>
      <c r="P20">
        <v>8.2144152616387451</v>
      </c>
      <c r="Q20">
        <v>6.9667653078431115</v>
      </c>
      <c r="R20">
        <v>3.6388192662382819</v>
      </c>
      <c r="S20">
        <v>5.727799502761135</v>
      </c>
      <c r="U20">
        <v>7.6851515817555729</v>
      </c>
    </row>
    <row r="21" spans="1:21" ht="16.5" customHeight="1" x14ac:dyDescent="0.2">
      <c r="A21" s="19" t="s">
        <v>354</v>
      </c>
      <c r="B21" s="19" t="s">
        <v>384</v>
      </c>
      <c r="C21" s="19" t="s">
        <v>330</v>
      </c>
      <c r="D21" s="19" t="s">
        <v>342</v>
      </c>
      <c r="E21" s="20">
        <v>45836</v>
      </c>
      <c r="F21" s="20">
        <v>366161.21260000003</v>
      </c>
      <c r="G21" s="80">
        <f t="shared" si="2"/>
        <v>7.9885071254036131</v>
      </c>
      <c r="H21" s="25">
        <v>0.47976854988221201</v>
      </c>
      <c r="I21">
        <v>0.08</v>
      </c>
      <c r="J21">
        <f t="shared" si="0"/>
        <v>3666.88</v>
      </c>
      <c r="K21">
        <f t="shared" si="1"/>
        <v>29292.897008000004</v>
      </c>
      <c r="L21" s="21">
        <f t="shared" si="3"/>
        <v>14053.810719377148</v>
      </c>
      <c r="N21" s="7" t="s">
        <v>332</v>
      </c>
    </row>
    <row r="22" spans="1:21" ht="16.5" customHeight="1" x14ac:dyDescent="0.2">
      <c r="A22" s="19" t="s">
        <v>341</v>
      </c>
      <c r="B22" s="19" t="s">
        <v>384</v>
      </c>
      <c r="C22" s="19" t="s">
        <v>330</v>
      </c>
      <c r="D22" s="19" t="s">
        <v>343</v>
      </c>
      <c r="E22" s="20">
        <v>95625</v>
      </c>
      <c r="F22" s="20">
        <v>547096.80000000005</v>
      </c>
      <c r="G22" s="80">
        <f t="shared" si="2"/>
        <v>5.7212737254901969</v>
      </c>
      <c r="H22" s="25">
        <v>0.78163845820018096</v>
      </c>
      <c r="I22">
        <v>0.64</v>
      </c>
      <c r="J22">
        <f t="shared" si="0"/>
        <v>61200</v>
      </c>
      <c r="K22">
        <f t="shared" si="1"/>
        <v>350141.95200000005</v>
      </c>
      <c r="L22" s="21">
        <f t="shared" si="3"/>
        <v>273684.41551248182</v>
      </c>
      <c r="N22" s="7" t="s">
        <v>358</v>
      </c>
      <c r="O22">
        <v>16.241173011179654</v>
      </c>
      <c r="P22">
        <v>7.6300838667823472</v>
      </c>
      <c r="Q22">
        <v>7.0573192028485323</v>
      </c>
      <c r="R22">
        <v>3.5392467666725014</v>
      </c>
      <c r="S22">
        <v>5.6863602713076888</v>
      </c>
      <c r="U22">
        <v>8.0308366237581446</v>
      </c>
    </row>
    <row r="23" spans="1:21" ht="16.5" customHeight="1" x14ac:dyDescent="0.2">
      <c r="A23" s="19" t="s">
        <v>346</v>
      </c>
      <c r="B23" s="19" t="s">
        <v>384</v>
      </c>
      <c r="C23" s="19" t="s">
        <v>330</v>
      </c>
      <c r="D23" s="19" t="s">
        <v>343</v>
      </c>
      <c r="E23" s="20">
        <v>107419</v>
      </c>
      <c r="F23" s="20">
        <v>647523.32999999996</v>
      </c>
      <c r="G23" s="80">
        <f t="shared" si="2"/>
        <v>6.0280148763254173</v>
      </c>
      <c r="H23" s="25">
        <v>0.75789172106603397</v>
      </c>
      <c r="I23">
        <v>0.64</v>
      </c>
      <c r="J23">
        <f t="shared" si="0"/>
        <v>68748.160000000003</v>
      </c>
      <c r="K23">
        <f t="shared" si="1"/>
        <v>414414.93119999999</v>
      </c>
      <c r="L23" s="21">
        <f t="shared" si="3"/>
        <v>314081.64544263005</v>
      </c>
    </row>
    <row r="24" spans="1:21" ht="16.5" customHeight="1" x14ac:dyDescent="0.2">
      <c r="A24" s="19" t="s">
        <v>347</v>
      </c>
      <c r="B24" s="19" t="s">
        <v>384</v>
      </c>
      <c r="C24" s="19" t="s">
        <v>330</v>
      </c>
      <c r="D24" s="19" t="s">
        <v>343</v>
      </c>
      <c r="E24" s="20">
        <v>266802</v>
      </c>
      <c r="F24" s="20">
        <v>1641448</v>
      </c>
      <c r="G24" s="80">
        <f t="shared" si="2"/>
        <v>6.1523077038403011</v>
      </c>
      <c r="H24" s="25">
        <v>0.98659098704091996</v>
      </c>
      <c r="I24">
        <v>0.64</v>
      </c>
      <c r="J24">
        <f t="shared" si="0"/>
        <v>170753.28</v>
      </c>
      <c r="K24">
        <f t="shared" si="1"/>
        <v>1050526.72</v>
      </c>
      <c r="L24" s="21">
        <f t="shared" si="3"/>
        <v>1036440.1935976602</v>
      </c>
    </row>
    <row r="25" spans="1:21" ht="16.5" customHeight="1" x14ac:dyDescent="0.2">
      <c r="A25" s="19" t="s">
        <v>348</v>
      </c>
      <c r="B25" s="19" t="s">
        <v>384</v>
      </c>
      <c r="C25" s="19" t="s">
        <v>330</v>
      </c>
      <c r="D25" s="19" t="s">
        <v>343</v>
      </c>
      <c r="E25" s="20">
        <v>136879</v>
      </c>
      <c r="F25" s="20">
        <v>865132.77549999999</v>
      </c>
      <c r="G25" s="80">
        <f t="shared" si="2"/>
        <v>6.3204200461721669</v>
      </c>
      <c r="H25" s="25">
        <v>0.84542769311824495</v>
      </c>
      <c r="I25">
        <v>0.64</v>
      </c>
      <c r="J25">
        <f t="shared" si="0"/>
        <v>87602.559999999998</v>
      </c>
      <c r="K25">
        <f t="shared" si="1"/>
        <v>553684.97632000002</v>
      </c>
      <c r="L25" s="21">
        <f t="shared" si="3"/>
        <v>468100.61224444769</v>
      </c>
    </row>
    <row r="26" spans="1:21" ht="16.5" customHeight="1" x14ac:dyDescent="0.2">
      <c r="A26" s="19" t="s">
        <v>349</v>
      </c>
      <c r="B26" s="19" t="s">
        <v>384</v>
      </c>
      <c r="C26" s="19" t="s">
        <v>330</v>
      </c>
      <c r="D26" s="19" t="s">
        <v>343</v>
      </c>
      <c r="E26" s="20">
        <v>218653</v>
      </c>
      <c r="F26" s="20">
        <v>1284124.7790000001</v>
      </c>
      <c r="G26" s="80">
        <f t="shared" si="2"/>
        <v>5.8728889107398485</v>
      </c>
      <c r="H26" s="25">
        <v>0.64896855858012703</v>
      </c>
      <c r="I26">
        <v>0.64</v>
      </c>
      <c r="J26">
        <f t="shared" si="0"/>
        <v>139937.92000000001</v>
      </c>
      <c r="K26">
        <f t="shared" si="1"/>
        <v>821839.85856000008</v>
      </c>
      <c r="L26" s="21">
        <f t="shared" si="3"/>
        <v>533348.22839337867</v>
      </c>
    </row>
    <row r="27" spans="1:21" ht="16.5" customHeight="1" x14ac:dyDescent="0.2">
      <c r="A27" s="19" t="s">
        <v>350</v>
      </c>
      <c r="B27" s="19" t="s">
        <v>384</v>
      </c>
      <c r="C27" s="19" t="s">
        <v>330</v>
      </c>
      <c r="D27" s="19" t="s">
        <v>343</v>
      </c>
      <c r="E27" s="20">
        <v>147140</v>
      </c>
      <c r="F27" s="20">
        <v>933542.0122</v>
      </c>
      <c r="G27" s="80">
        <f t="shared" si="2"/>
        <v>6.3445834728829684</v>
      </c>
      <c r="H27" s="25">
        <v>0.77642713477690495</v>
      </c>
      <c r="I27">
        <v>0.64</v>
      </c>
      <c r="J27">
        <f t="shared" si="0"/>
        <v>94169.600000000006</v>
      </c>
      <c r="K27">
        <f t="shared" si="1"/>
        <v>597466.88780799997</v>
      </c>
      <c r="L27" s="21">
        <f t="shared" si="3"/>
        <v>463889.50382483995</v>
      </c>
    </row>
    <row r="28" spans="1:21" ht="16.5" customHeight="1" x14ac:dyDescent="0.2">
      <c r="A28" s="19" t="s">
        <v>351</v>
      </c>
      <c r="B28" s="19" t="s">
        <v>384</v>
      </c>
      <c r="C28" s="19" t="s">
        <v>330</v>
      </c>
      <c r="D28" s="19" t="s">
        <v>343</v>
      </c>
      <c r="E28" s="20">
        <v>315972</v>
      </c>
      <c r="F28" s="20">
        <v>1987441.7361999999</v>
      </c>
      <c r="G28" s="80">
        <f t="shared" si="2"/>
        <v>6.2899299184737885</v>
      </c>
      <c r="H28" s="25">
        <v>1.0555388931586001</v>
      </c>
      <c r="I28">
        <v>0.64</v>
      </c>
      <c r="J28">
        <f t="shared" si="0"/>
        <v>202222.08000000002</v>
      </c>
      <c r="K28">
        <f t="shared" si="1"/>
        <v>1271962.711168</v>
      </c>
      <c r="L28" s="21">
        <f t="shared" si="3"/>
        <v>1342606.1122852829</v>
      </c>
    </row>
    <row r="29" spans="1:21" ht="16.5" customHeight="1" x14ac:dyDescent="0.2">
      <c r="A29" s="19" t="s">
        <v>352</v>
      </c>
      <c r="B29" s="19" t="s">
        <v>384</v>
      </c>
      <c r="C29" s="19" t="s">
        <v>330</v>
      </c>
      <c r="D29" s="19" t="s">
        <v>343</v>
      </c>
      <c r="E29" s="20">
        <v>246299</v>
      </c>
      <c r="F29" s="20">
        <v>1589740.9926</v>
      </c>
      <c r="G29" s="80">
        <f t="shared" si="2"/>
        <v>6.4545166346594991</v>
      </c>
      <c r="H29" s="25">
        <v>1.02105863887004</v>
      </c>
      <c r="I29">
        <v>0.64</v>
      </c>
      <c r="J29">
        <f t="shared" si="0"/>
        <v>157631.36000000002</v>
      </c>
      <c r="K29">
        <f t="shared" si="1"/>
        <v>1017434.235264</v>
      </c>
      <c r="L29" s="21">
        <f t="shared" si="3"/>
        <v>1038860.01539844</v>
      </c>
    </row>
    <row r="30" spans="1:21" ht="16.5" customHeight="1" x14ac:dyDescent="0.2">
      <c r="A30" s="19" t="s">
        <v>353</v>
      </c>
      <c r="B30" s="19" t="s">
        <v>384</v>
      </c>
      <c r="C30" s="19" t="s">
        <v>330</v>
      </c>
      <c r="D30" s="19" t="s">
        <v>343</v>
      </c>
      <c r="E30" s="20">
        <v>174850</v>
      </c>
      <c r="F30" s="20">
        <v>1017967.6086</v>
      </c>
      <c r="G30" s="80">
        <f t="shared" si="2"/>
        <v>5.8219480045753507</v>
      </c>
      <c r="H30" s="25">
        <v>0.92024449890510396</v>
      </c>
      <c r="I30">
        <v>0.64</v>
      </c>
      <c r="J30">
        <f t="shared" si="0"/>
        <v>111904</v>
      </c>
      <c r="K30">
        <f t="shared" si="1"/>
        <v>651499.26950400008</v>
      </c>
      <c r="L30" s="21">
        <f t="shared" si="3"/>
        <v>599538.61880174978</v>
      </c>
    </row>
    <row r="31" spans="1:21" ht="16.5" customHeight="1" x14ac:dyDescent="0.2">
      <c r="A31" s="19" t="s">
        <v>354</v>
      </c>
      <c r="B31" s="19" t="s">
        <v>384</v>
      </c>
      <c r="C31" s="19" t="s">
        <v>330</v>
      </c>
      <c r="D31" s="19" t="s">
        <v>343</v>
      </c>
      <c r="E31" s="20">
        <v>141446</v>
      </c>
      <c r="F31" s="20">
        <v>847644.44469999999</v>
      </c>
      <c r="G31" s="80">
        <f t="shared" si="2"/>
        <v>5.9927070733707559</v>
      </c>
      <c r="H31" s="25">
        <v>0.99361585898303695</v>
      </c>
      <c r="I31">
        <v>0.64</v>
      </c>
      <c r="J31">
        <f t="shared" si="0"/>
        <v>90525.440000000002</v>
      </c>
      <c r="K31">
        <f t="shared" si="1"/>
        <v>542492.44460799999</v>
      </c>
      <c r="L31" s="21">
        <f t="shared" si="3"/>
        <v>539029.0963409855</v>
      </c>
    </row>
    <row r="32" spans="1:21" ht="16.5" customHeight="1" x14ac:dyDescent="0.2">
      <c r="A32" s="19" t="s">
        <v>341</v>
      </c>
      <c r="B32" s="19" t="s">
        <v>384</v>
      </c>
      <c r="C32" s="19" t="s">
        <v>330</v>
      </c>
      <c r="D32" s="19" t="s">
        <v>344</v>
      </c>
      <c r="E32" s="20">
        <v>395951</v>
      </c>
      <c r="F32" s="20">
        <v>1151542</v>
      </c>
      <c r="G32" s="80">
        <f t="shared" si="2"/>
        <v>2.908294208121712</v>
      </c>
      <c r="H32" s="25">
        <v>0.41623870545635</v>
      </c>
      <c r="I32">
        <v>0.14000000000000001</v>
      </c>
      <c r="J32">
        <f t="shared" si="0"/>
        <v>55433.140000000007</v>
      </c>
      <c r="K32">
        <f t="shared" si="1"/>
        <v>161215.88</v>
      </c>
      <c r="L32" s="21">
        <f t="shared" si="3"/>
        <v>67104.289190206269</v>
      </c>
    </row>
    <row r="33" spans="1:12" ht="16.5" customHeight="1" x14ac:dyDescent="0.2">
      <c r="A33" s="19" t="s">
        <v>346</v>
      </c>
      <c r="B33" s="19" t="s">
        <v>384</v>
      </c>
      <c r="C33" s="19" t="s">
        <v>330</v>
      </c>
      <c r="D33" s="19" t="s">
        <v>344</v>
      </c>
      <c r="E33" s="20">
        <v>726064</v>
      </c>
      <c r="F33" s="20">
        <v>2595190</v>
      </c>
      <c r="G33" s="80">
        <f t="shared" si="2"/>
        <v>3.5743267811102051</v>
      </c>
      <c r="H33" s="25">
        <v>0.32478388740432002</v>
      </c>
      <c r="I33">
        <v>0.14000000000000001</v>
      </c>
      <c r="J33">
        <f t="shared" si="0"/>
        <v>101648.96000000001</v>
      </c>
      <c r="K33">
        <f t="shared" si="1"/>
        <v>363326.60000000003</v>
      </c>
      <c r="L33" s="21">
        <f t="shared" si="3"/>
        <v>118002.62554539443</v>
      </c>
    </row>
    <row r="34" spans="1:12" ht="16.5" customHeight="1" x14ac:dyDescent="0.2">
      <c r="A34" s="19" t="s">
        <v>347</v>
      </c>
      <c r="B34" s="19" t="s">
        <v>384</v>
      </c>
      <c r="C34" s="19" t="s">
        <v>330</v>
      </c>
      <c r="D34" s="19" t="s">
        <v>344</v>
      </c>
      <c r="E34" s="20">
        <v>2146679</v>
      </c>
      <c r="F34" s="20">
        <v>6616113</v>
      </c>
      <c r="G34" s="80">
        <f t="shared" si="2"/>
        <v>3.0820225101191188</v>
      </c>
      <c r="H34" s="25">
        <v>0.38858936342385197</v>
      </c>
      <c r="I34">
        <v>0.14000000000000001</v>
      </c>
      <c r="J34">
        <f t="shared" ref="J34:J65" si="4">E34*I34</f>
        <v>300535.06000000006</v>
      </c>
      <c r="K34">
        <f t="shared" ref="K34:K65" si="5">F34*I34</f>
        <v>926255.82000000007</v>
      </c>
      <c r="L34" s="21">
        <f t="shared" ref="L34:L65" si="6">K34*H34</f>
        <v>359933.15946143802</v>
      </c>
    </row>
    <row r="35" spans="1:12" ht="16.5" customHeight="1" x14ac:dyDescent="0.2">
      <c r="A35" s="19" t="s">
        <v>348</v>
      </c>
      <c r="B35" s="19" t="s">
        <v>384</v>
      </c>
      <c r="C35" s="19" t="s">
        <v>330</v>
      </c>
      <c r="D35" s="19" t="s">
        <v>344</v>
      </c>
      <c r="E35" s="20">
        <v>914370</v>
      </c>
      <c r="F35" s="20">
        <v>3306150.8284999998</v>
      </c>
      <c r="G35" s="80">
        <f t="shared" si="2"/>
        <v>3.6157691399542853</v>
      </c>
      <c r="H35" s="25">
        <v>0.25945134171349399</v>
      </c>
      <c r="I35">
        <v>0.14000000000000001</v>
      </c>
      <c r="J35">
        <f t="shared" si="4"/>
        <v>128011.80000000002</v>
      </c>
      <c r="K35">
        <f t="shared" si="5"/>
        <v>462861.11599000002</v>
      </c>
      <c r="L35" s="21">
        <f t="shared" si="6"/>
        <v>120089.93757061067</v>
      </c>
    </row>
    <row r="36" spans="1:12" ht="16.5" customHeight="1" x14ac:dyDescent="0.2">
      <c r="A36" s="19" t="s">
        <v>349</v>
      </c>
      <c r="B36" s="19" t="s">
        <v>384</v>
      </c>
      <c r="C36" s="19" t="s">
        <v>330</v>
      </c>
      <c r="D36" s="19" t="s">
        <v>344</v>
      </c>
      <c r="E36" s="20">
        <v>6435972</v>
      </c>
      <c r="F36" s="20">
        <v>20253593.398800001</v>
      </c>
      <c r="G36" s="80">
        <f t="shared" si="2"/>
        <v>3.1469362201700068</v>
      </c>
      <c r="H36" s="25">
        <v>0.228504649588717</v>
      </c>
      <c r="I36">
        <v>0.14000000000000001</v>
      </c>
      <c r="J36">
        <f t="shared" si="4"/>
        <v>901036.08000000007</v>
      </c>
      <c r="K36">
        <f t="shared" si="5"/>
        <v>2835503.0758320005</v>
      </c>
      <c r="L36" s="21">
        <f t="shared" si="6"/>
        <v>647925.63675072056</v>
      </c>
    </row>
    <row r="37" spans="1:12" ht="16.5" customHeight="1" x14ac:dyDescent="0.2">
      <c r="A37" s="19" t="s">
        <v>350</v>
      </c>
      <c r="B37" s="19" t="s">
        <v>384</v>
      </c>
      <c r="C37" s="19" t="s">
        <v>330</v>
      </c>
      <c r="D37" s="19" t="s">
        <v>344</v>
      </c>
      <c r="E37" s="20">
        <v>509858</v>
      </c>
      <c r="F37" s="20">
        <v>2221158.7094999999</v>
      </c>
      <c r="G37" s="80">
        <f t="shared" si="2"/>
        <v>4.3564261215867948</v>
      </c>
      <c r="H37" s="25">
        <v>0.18834817016452499</v>
      </c>
      <c r="I37">
        <v>0.14000000000000001</v>
      </c>
      <c r="J37">
        <f t="shared" si="4"/>
        <v>71380.12000000001</v>
      </c>
      <c r="K37">
        <f t="shared" si="5"/>
        <v>310962.21932999999</v>
      </c>
      <c r="L37" s="21">
        <f t="shared" si="6"/>
        <v>58569.165001105182</v>
      </c>
    </row>
    <row r="38" spans="1:12" ht="16.5" customHeight="1" x14ac:dyDescent="0.2">
      <c r="A38" s="19" t="s">
        <v>351</v>
      </c>
      <c r="B38" s="19" t="s">
        <v>384</v>
      </c>
      <c r="C38" s="19" t="s">
        <v>330</v>
      </c>
      <c r="D38" s="19" t="s">
        <v>344</v>
      </c>
      <c r="E38" s="20">
        <v>2185213</v>
      </c>
      <c r="F38" s="20">
        <v>7659314.6204000004</v>
      </c>
      <c r="G38" s="80">
        <f t="shared" si="2"/>
        <v>3.5050654651972142</v>
      </c>
      <c r="H38" s="25">
        <v>0.32228327372431798</v>
      </c>
      <c r="I38">
        <v>0.14000000000000001</v>
      </c>
      <c r="J38">
        <f t="shared" si="4"/>
        <v>305929.82</v>
      </c>
      <c r="K38">
        <f t="shared" si="5"/>
        <v>1072304.0468560001</v>
      </c>
      <c r="L38" s="21">
        <f t="shared" si="6"/>
        <v>345585.65864858619</v>
      </c>
    </row>
    <row r="39" spans="1:12" ht="16.5" customHeight="1" x14ac:dyDescent="0.2">
      <c r="A39" s="19" t="s">
        <v>352</v>
      </c>
      <c r="B39" s="19" t="s">
        <v>384</v>
      </c>
      <c r="C39" s="19" t="s">
        <v>330</v>
      </c>
      <c r="D39" s="19" t="s">
        <v>344</v>
      </c>
      <c r="E39" s="20">
        <v>1693703</v>
      </c>
      <c r="F39" s="20">
        <v>6255859.8722999999</v>
      </c>
      <c r="G39" s="80">
        <f t="shared" si="2"/>
        <v>3.6935990975395332</v>
      </c>
      <c r="H39" s="25">
        <v>0.427717491801551</v>
      </c>
      <c r="I39">
        <v>0.14000000000000001</v>
      </c>
      <c r="J39">
        <f t="shared" si="4"/>
        <v>237118.42</v>
      </c>
      <c r="K39">
        <f t="shared" si="5"/>
        <v>875820.3821220001</v>
      </c>
      <c r="L39" s="21">
        <f t="shared" si="6"/>
        <v>374603.69710989785</v>
      </c>
    </row>
    <row r="40" spans="1:12" ht="16.5" customHeight="1" x14ac:dyDescent="0.2">
      <c r="A40" s="19" t="s">
        <v>353</v>
      </c>
      <c r="B40" s="19" t="s">
        <v>384</v>
      </c>
      <c r="C40" s="19" t="s">
        <v>330</v>
      </c>
      <c r="D40" s="19" t="s">
        <v>344</v>
      </c>
      <c r="E40" s="20">
        <v>2127991</v>
      </c>
      <c r="F40" s="20">
        <v>6643237.4649999999</v>
      </c>
      <c r="G40" s="80">
        <f t="shared" si="2"/>
        <v>3.1218353202621625</v>
      </c>
      <c r="H40" s="25">
        <v>0.29805488791071699</v>
      </c>
      <c r="I40">
        <v>0.14000000000000001</v>
      </c>
      <c r="J40">
        <f t="shared" si="4"/>
        <v>297918.74000000005</v>
      </c>
      <c r="K40">
        <f t="shared" si="5"/>
        <v>930053.24510000006</v>
      </c>
      <c r="L40" s="21">
        <f t="shared" si="6"/>
        <v>277206.91571927909</v>
      </c>
    </row>
    <row r="41" spans="1:12" ht="16.5" customHeight="1" x14ac:dyDescent="0.2">
      <c r="A41" s="19" t="s">
        <v>354</v>
      </c>
      <c r="B41" s="19" t="s">
        <v>384</v>
      </c>
      <c r="C41" s="19" t="s">
        <v>330</v>
      </c>
      <c r="D41" s="19" t="s">
        <v>344</v>
      </c>
      <c r="E41" s="20">
        <v>2870056</v>
      </c>
      <c r="F41" s="20">
        <v>10700342.9989</v>
      </c>
      <c r="G41" s="80">
        <f t="shared" si="2"/>
        <v>3.7282697616004703</v>
      </c>
      <c r="H41" s="25">
        <v>0.33003853508847297</v>
      </c>
      <c r="I41">
        <v>0.14000000000000001</v>
      </c>
      <c r="J41">
        <f t="shared" si="4"/>
        <v>401807.84</v>
      </c>
      <c r="K41">
        <f t="shared" si="5"/>
        <v>1498048.0198460002</v>
      </c>
      <c r="L41" s="21">
        <f t="shared" si="6"/>
        <v>494413.57396216161</v>
      </c>
    </row>
    <row r="42" spans="1:12" ht="16.5" customHeight="1" x14ac:dyDescent="0.2">
      <c r="A42" s="19" t="s">
        <v>341</v>
      </c>
      <c r="B42" s="19" t="s">
        <v>384</v>
      </c>
      <c r="C42" s="19" t="s">
        <v>330</v>
      </c>
      <c r="D42" s="19" t="s">
        <v>345</v>
      </c>
      <c r="E42" s="20">
        <v>5667454</v>
      </c>
      <c r="F42" s="20">
        <v>36193672.350000001</v>
      </c>
      <c r="G42" s="80">
        <f t="shared" si="2"/>
        <v>6.3862313395044765</v>
      </c>
      <c r="H42" s="26">
        <v>1.4151279402591199</v>
      </c>
      <c r="I42">
        <v>0.12</v>
      </c>
      <c r="J42">
        <f t="shared" si="4"/>
        <v>680094.48</v>
      </c>
      <c r="K42">
        <f t="shared" si="5"/>
        <v>4343240.682</v>
      </c>
      <c r="L42" s="21">
        <f t="shared" si="6"/>
        <v>6146241.240368275</v>
      </c>
    </row>
    <row r="43" spans="1:12" ht="16.5" customHeight="1" x14ac:dyDescent="0.2">
      <c r="A43" s="19" t="s">
        <v>346</v>
      </c>
      <c r="B43" s="19" t="s">
        <v>384</v>
      </c>
      <c r="C43" s="19" t="s">
        <v>330</v>
      </c>
      <c r="D43" s="19" t="s">
        <v>345</v>
      </c>
      <c r="E43" s="20">
        <v>3328212</v>
      </c>
      <c r="F43" s="20">
        <v>22318606.57</v>
      </c>
      <c r="G43" s="80">
        <f t="shared" si="2"/>
        <v>6.7058848925489123</v>
      </c>
      <c r="H43" s="26">
        <v>1.45808454462651</v>
      </c>
      <c r="I43">
        <v>0.12</v>
      </c>
      <c r="J43">
        <f t="shared" si="4"/>
        <v>399385.44</v>
      </c>
      <c r="K43">
        <f t="shared" si="5"/>
        <v>2678232.7884</v>
      </c>
      <c r="L43" s="21">
        <f t="shared" si="6"/>
        <v>3905089.8356780023</v>
      </c>
    </row>
    <row r="44" spans="1:12" ht="16.5" customHeight="1" x14ac:dyDescent="0.2">
      <c r="A44" s="19" t="s">
        <v>347</v>
      </c>
      <c r="B44" s="19" t="s">
        <v>384</v>
      </c>
      <c r="C44" s="19" t="s">
        <v>330</v>
      </c>
      <c r="D44" s="19" t="s">
        <v>345</v>
      </c>
      <c r="E44" s="20">
        <v>2854011</v>
      </c>
      <c r="F44" s="20">
        <v>17726278.75</v>
      </c>
      <c r="G44" s="80">
        <f t="shared" si="2"/>
        <v>6.2110057564599437</v>
      </c>
      <c r="H44" s="26">
        <v>2.1839710103350001</v>
      </c>
      <c r="I44">
        <v>0.12</v>
      </c>
      <c r="J44">
        <f t="shared" si="4"/>
        <v>342481.32</v>
      </c>
      <c r="K44">
        <f t="shared" si="5"/>
        <v>2127153.4499999997</v>
      </c>
      <c r="L44" s="21">
        <f t="shared" si="6"/>
        <v>4645641.4693340808</v>
      </c>
    </row>
    <row r="45" spans="1:12" ht="16.5" customHeight="1" x14ac:dyDescent="0.2">
      <c r="A45" s="19" t="s">
        <v>348</v>
      </c>
      <c r="B45" s="19" t="s">
        <v>384</v>
      </c>
      <c r="C45" s="19" t="s">
        <v>330</v>
      </c>
      <c r="D45" s="19" t="s">
        <v>345</v>
      </c>
      <c r="E45" s="20">
        <v>2613635</v>
      </c>
      <c r="F45" s="20">
        <v>15780256.3979</v>
      </c>
      <c r="G45" s="80">
        <f t="shared" si="2"/>
        <v>6.037666467544244</v>
      </c>
      <c r="H45" s="26">
        <v>2.1108259034086299</v>
      </c>
      <c r="I45">
        <v>0.12</v>
      </c>
      <c r="J45">
        <f t="shared" si="4"/>
        <v>313636.2</v>
      </c>
      <c r="K45">
        <f t="shared" si="5"/>
        <v>1893630.7677479999</v>
      </c>
      <c r="L45" s="21">
        <f t="shared" si="6"/>
        <v>3997124.876054049</v>
      </c>
    </row>
    <row r="46" spans="1:12" ht="16.5" customHeight="1" x14ac:dyDescent="0.2">
      <c r="A46" s="19" t="s">
        <v>349</v>
      </c>
      <c r="B46" s="19" t="s">
        <v>384</v>
      </c>
      <c r="C46" s="19" t="s">
        <v>330</v>
      </c>
      <c r="D46" s="19" t="s">
        <v>345</v>
      </c>
      <c r="E46" s="20">
        <v>2889855</v>
      </c>
      <c r="F46" s="20">
        <v>15065754.7587</v>
      </c>
      <c r="G46" s="80">
        <f t="shared" si="2"/>
        <v>5.213325498580379</v>
      </c>
      <c r="H46" s="26">
        <v>1.54171980139329</v>
      </c>
      <c r="I46">
        <v>0.12</v>
      </c>
      <c r="J46">
        <f t="shared" si="4"/>
        <v>346782.6</v>
      </c>
      <c r="K46">
        <f t="shared" si="5"/>
        <v>1807890.5710439999</v>
      </c>
      <c r="L46" s="21">
        <f t="shared" si="6"/>
        <v>2787260.692130757</v>
      </c>
    </row>
    <row r="47" spans="1:12" ht="16.5" customHeight="1" x14ac:dyDescent="0.2">
      <c r="A47" s="19" t="s">
        <v>350</v>
      </c>
      <c r="B47" s="19" t="s">
        <v>384</v>
      </c>
      <c r="C47" s="19" t="s">
        <v>330</v>
      </c>
      <c r="D47" s="19" t="s">
        <v>345</v>
      </c>
      <c r="E47" s="20">
        <v>2656048</v>
      </c>
      <c r="F47" s="20">
        <v>15084386.7226</v>
      </c>
      <c r="G47" s="80">
        <f t="shared" si="2"/>
        <v>5.6792598336325248</v>
      </c>
      <c r="H47" s="26">
        <v>1.50505836413609</v>
      </c>
      <c r="I47">
        <v>0.12</v>
      </c>
      <c r="J47">
        <f t="shared" si="4"/>
        <v>318725.76000000001</v>
      </c>
      <c r="K47">
        <f t="shared" si="5"/>
        <v>1810126.406712</v>
      </c>
      <c r="L47" s="21">
        <f t="shared" si="6"/>
        <v>2724345.8885655012</v>
      </c>
    </row>
    <row r="48" spans="1:12" ht="16.5" customHeight="1" x14ac:dyDescent="0.2">
      <c r="A48" s="19" t="s">
        <v>351</v>
      </c>
      <c r="B48" s="19" t="s">
        <v>384</v>
      </c>
      <c r="C48" s="19" t="s">
        <v>330</v>
      </c>
      <c r="D48" s="19" t="s">
        <v>345</v>
      </c>
      <c r="E48" s="20">
        <v>2144697</v>
      </c>
      <c r="F48" s="20">
        <v>12031160.8156</v>
      </c>
      <c r="G48" s="80">
        <f t="shared" si="2"/>
        <v>5.6097252038866099</v>
      </c>
      <c r="H48" s="26">
        <v>1.8364687684168499</v>
      </c>
      <c r="I48">
        <v>0.12</v>
      </c>
      <c r="J48">
        <f t="shared" si="4"/>
        <v>257363.63999999998</v>
      </c>
      <c r="K48">
        <f t="shared" si="5"/>
        <v>1443739.2978719999</v>
      </c>
      <c r="L48" s="21">
        <f t="shared" si="6"/>
        <v>2651382.1302779992</v>
      </c>
    </row>
    <row r="49" spans="1:12" ht="16.5" customHeight="1" x14ac:dyDescent="0.2">
      <c r="A49" s="19" t="s">
        <v>352</v>
      </c>
      <c r="B49" s="19" t="s">
        <v>384</v>
      </c>
      <c r="C49" s="19" t="s">
        <v>330</v>
      </c>
      <c r="D49" s="19" t="s">
        <v>345</v>
      </c>
      <c r="E49" s="20">
        <v>1185169</v>
      </c>
      <c r="F49" s="20">
        <v>5764257.8282000003</v>
      </c>
      <c r="G49" s="80">
        <f t="shared" si="2"/>
        <v>4.8636589618864488</v>
      </c>
      <c r="H49" s="26">
        <v>2.3743543410853101</v>
      </c>
      <c r="I49">
        <v>0.12</v>
      </c>
      <c r="J49">
        <f t="shared" si="4"/>
        <v>142220.28</v>
      </c>
      <c r="K49">
        <f t="shared" si="5"/>
        <v>691710.93938400003</v>
      </c>
      <c r="L49" s="21">
        <f t="shared" si="6"/>
        <v>1642366.8717025982</v>
      </c>
    </row>
    <row r="50" spans="1:12" ht="16.5" customHeight="1" x14ac:dyDescent="0.2">
      <c r="A50" s="19" t="s">
        <v>353</v>
      </c>
      <c r="B50" s="19" t="s">
        <v>384</v>
      </c>
      <c r="C50" s="19" t="s">
        <v>330</v>
      </c>
      <c r="D50" s="19" t="s">
        <v>345</v>
      </c>
      <c r="E50" s="20">
        <v>2029905</v>
      </c>
      <c r="F50" s="20">
        <v>10916186.5397</v>
      </c>
      <c r="G50" s="80">
        <f t="shared" si="2"/>
        <v>5.3776834579450759</v>
      </c>
      <c r="H50" s="26">
        <v>1.9548076411489901</v>
      </c>
      <c r="I50">
        <v>0.12</v>
      </c>
      <c r="J50">
        <f t="shared" si="4"/>
        <v>243588.59999999998</v>
      </c>
      <c r="K50">
        <f t="shared" si="5"/>
        <v>1309942.3847639998</v>
      </c>
      <c r="L50" s="21">
        <f t="shared" si="6"/>
        <v>2560685.3832015973</v>
      </c>
    </row>
    <row r="51" spans="1:12" ht="16.5" customHeight="1" x14ac:dyDescent="0.2">
      <c r="A51" s="19" t="s">
        <v>354</v>
      </c>
      <c r="B51" s="19" t="s">
        <v>384</v>
      </c>
      <c r="C51" s="19" t="s">
        <v>330</v>
      </c>
      <c r="D51" s="19" t="s">
        <v>345</v>
      </c>
      <c r="E51" s="20">
        <v>918473</v>
      </c>
      <c r="F51" s="20">
        <v>4382484.0251000002</v>
      </c>
      <c r="G51" s="80">
        <f t="shared" si="2"/>
        <v>4.7714892273371134</v>
      </c>
      <c r="H51" s="26">
        <v>1.5589782900148601</v>
      </c>
      <c r="I51">
        <v>0.12</v>
      </c>
      <c r="J51">
        <f t="shared" si="4"/>
        <v>110216.76</v>
      </c>
      <c r="K51">
        <f t="shared" si="5"/>
        <v>525898.08301199996</v>
      </c>
      <c r="L51" s="21">
        <f t="shared" si="6"/>
        <v>819863.69417614059</v>
      </c>
    </row>
    <row r="52" spans="1:12" ht="16.5" customHeight="1" x14ac:dyDescent="0.2">
      <c r="A52" s="19" t="s">
        <v>341</v>
      </c>
      <c r="B52" s="19" t="s">
        <v>385</v>
      </c>
      <c r="C52" s="19" t="s">
        <v>330</v>
      </c>
      <c r="D52" s="19" t="s">
        <v>340</v>
      </c>
      <c r="E52" s="20">
        <v>19113</v>
      </c>
      <c r="F52" s="20">
        <v>394966.989</v>
      </c>
      <c r="G52" s="80">
        <f t="shared" si="2"/>
        <v>20.664834876785434</v>
      </c>
      <c r="H52" s="25">
        <v>5.5677672026199696</v>
      </c>
      <c r="I52">
        <v>0.52</v>
      </c>
      <c r="J52">
        <f t="shared" si="4"/>
        <v>9938.76</v>
      </c>
      <c r="K52">
        <f t="shared" si="5"/>
        <v>205382.83428000001</v>
      </c>
      <c r="L52" s="21">
        <f t="shared" si="6"/>
        <v>1143523.8086853165</v>
      </c>
    </row>
    <row r="53" spans="1:12" ht="16.5" customHeight="1" x14ac:dyDescent="0.2">
      <c r="A53" s="19" t="s">
        <v>346</v>
      </c>
      <c r="B53" s="19" t="s">
        <v>385</v>
      </c>
      <c r="C53" s="19" t="s">
        <v>330</v>
      </c>
      <c r="D53" s="19" t="s">
        <v>340</v>
      </c>
      <c r="E53" s="20">
        <v>12217</v>
      </c>
      <c r="F53" s="20">
        <v>259897.8792</v>
      </c>
      <c r="G53" s="80">
        <f t="shared" si="2"/>
        <v>21.273461504460997</v>
      </c>
      <c r="H53" s="25">
        <v>3.0319572364407699</v>
      </c>
      <c r="I53">
        <v>0.52</v>
      </c>
      <c r="J53">
        <f t="shared" si="4"/>
        <v>6352.84</v>
      </c>
      <c r="K53">
        <f t="shared" si="5"/>
        <v>135146.897184</v>
      </c>
      <c r="L53" s="21">
        <f t="shared" si="6"/>
        <v>409759.61289954552</v>
      </c>
    </row>
    <row r="54" spans="1:12" ht="16.5" customHeight="1" x14ac:dyDescent="0.2">
      <c r="A54" s="19" t="s">
        <v>347</v>
      </c>
      <c r="B54" s="19" t="s">
        <v>385</v>
      </c>
      <c r="C54" s="19" t="s">
        <v>330</v>
      </c>
      <c r="D54" s="19" t="s">
        <v>340</v>
      </c>
      <c r="E54" s="20">
        <v>10179</v>
      </c>
      <c r="F54" s="20">
        <v>184845.62469999999</v>
      </c>
      <c r="G54" s="80">
        <f t="shared" si="2"/>
        <v>18.159507289517634</v>
      </c>
      <c r="H54" s="25">
        <v>6.3384232298596901</v>
      </c>
      <c r="I54">
        <v>0.52</v>
      </c>
      <c r="J54">
        <f t="shared" si="4"/>
        <v>5293.08</v>
      </c>
      <c r="K54">
        <f t="shared" si="5"/>
        <v>96119.724843999997</v>
      </c>
      <c r="L54" s="21">
        <f t="shared" si="6"/>
        <v>609247.49679893116</v>
      </c>
    </row>
    <row r="55" spans="1:12" ht="16.5" customHeight="1" x14ac:dyDescent="0.2">
      <c r="A55" s="19" t="s">
        <v>348</v>
      </c>
      <c r="B55" s="19" t="s">
        <v>385</v>
      </c>
      <c r="C55" s="19" t="s">
        <v>330</v>
      </c>
      <c r="D55" s="19" t="s">
        <v>340</v>
      </c>
      <c r="E55" s="20">
        <v>10837</v>
      </c>
      <c r="F55" s="20">
        <v>193668.26459999999</v>
      </c>
      <c r="G55" s="80">
        <f t="shared" si="2"/>
        <v>17.871021924886961</v>
      </c>
      <c r="H55" s="25">
        <v>6.6137400263800901</v>
      </c>
      <c r="I55">
        <v>0.52</v>
      </c>
      <c r="J55">
        <f t="shared" si="4"/>
        <v>5635.24</v>
      </c>
      <c r="K55">
        <f t="shared" si="5"/>
        <v>100707.497592</v>
      </c>
      <c r="L55" s="21">
        <f t="shared" si="6"/>
        <v>666053.20778078691</v>
      </c>
    </row>
    <row r="56" spans="1:12" ht="16.5" customHeight="1" x14ac:dyDescent="0.2">
      <c r="A56" s="19" t="s">
        <v>349</v>
      </c>
      <c r="B56" s="19" t="s">
        <v>385</v>
      </c>
      <c r="C56" s="19" t="s">
        <v>330</v>
      </c>
      <c r="D56" s="19" t="s">
        <v>340</v>
      </c>
      <c r="E56" s="20">
        <v>23353</v>
      </c>
      <c r="F56" s="20">
        <v>407296.71169999999</v>
      </c>
      <c r="G56" s="80">
        <f t="shared" si="2"/>
        <v>17.440873194022181</v>
      </c>
      <c r="H56" s="25">
        <v>5.7560026953291903</v>
      </c>
      <c r="I56">
        <v>0.52</v>
      </c>
      <c r="J56">
        <f t="shared" si="4"/>
        <v>12143.560000000001</v>
      </c>
      <c r="K56">
        <f t="shared" si="5"/>
        <v>211794.29008400001</v>
      </c>
      <c r="L56" s="21">
        <f t="shared" si="6"/>
        <v>1219088.5045788365</v>
      </c>
    </row>
    <row r="57" spans="1:12" ht="16.5" customHeight="1" x14ac:dyDescent="0.2">
      <c r="A57" s="19" t="s">
        <v>350</v>
      </c>
      <c r="B57" s="19" t="s">
        <v>385</v>
      </c>
      <c r="C57" s="19" t="s">
        <v>330</v>
      </c>
      <c r="D57" s="19" t="s">
        <v>340</v>
      </c>
      <c r="E57" s="20">
        <v>12689</v>
      </c>
      <c r="F57" s="20">
        <v>228669.52739999999</v>
      </c>
      <c r="G57" s="80">
        <f t="shared" si="2"/>
        <v>18.021083410828275</v>
      </c>
      <c r="H57" s="25">
        <v>6.2023809593743398</v>
      </c>
      <c r="I57">
        <v>0.52</v>
      </c>
      <c r="J57">
        <f t="shared" si="4"/>
        <v>6598.2800000000007</v>
      </c>
      <c r="K57">
        <f t="shared" si="5"/>
        <v>118908.15424800001</v>
      </c>
      <c r="L57" s="21">
        <f t="shared" si="6"/>
        <v>737513.67182214221</v>
      </c>
    </row>
    <row r="58" spans="1:12" ht="16.5" customHeight="1" x14ac:dyDescent="0.2">
      <c r="A58" s="19" t="s">
        <v>351</v>
      </c>
      <c r="B58" s="19" t="s">
        <v>385</v>
      </c>
      <c r="C58" s="19" t="s">
        <v>330</v>
      </c>
      <c r="D58" s="19" t="s">
        <v>340</v>
      </c>
      <c r="E58" s="20">
        <v>14370</v>
      </c>
      <c r="F58" s="20">
        <v>296879.9388</v>
      </c>
      <c r="G58" s="80">
        <f t="shared" si="2"/>
        <v>20.659703465553235</v>
      </c>
      <c r="H58" s="25">
        <v>7.6299330694225898</v>
      </c>
      <c r="I58">
        <v>0.52</v>
      </c>
      <c r="J58">
        <f t="shared" si="4"/>
        <v>7472.4000000000005</v>
      </c>
      <c r="K58">
        <f t="shared" si="5"/>
        <v>154377.568176</v>
      </c>
      <c r="L58" s="21">
        <f t="shared" si="6"/>
        <v>1177890.5126031027</v>
      </c>
    </row>
    <row r="59" spans="1:12" ht="16.5" customHeight="1" x14ac:dyDescent="0.2">
      <c r="A59" s="19" t="s">
        <v>352</v>
      </c>
      <c r="B59" s="19" t="s">
        <v>385</v>
      </c>
      <c r="C59" s="19" t="s">
        <v>330</v>
      </c>
      <c r="D59" s="19" t="s">
        <v>340</v>
      </c>
      <c r="E59" s="20">
        <v>8403</v>
      </c>
      <c r="F59" s="20">
        <v>137135.54790000001</v>
      </c>
      <c r="G59" s="80">
        <f t="shared" si="2"/>
        <v>16.319831952873976</v>
      </c>
      <c r="H59" s="25">
        <v>12.907780015352801</v>
      </c>
      <c r="I59">
        <v>0.52</v>
      </c>
      <c r="J59">
        <f t="shared" si="4"/>
        <v>4369.5600000000004</v>
      </c>
      <c r="K59">
        <f t="shared" si="5"/>
        <v>71310.484907999999</v>
      </c>
      <c r="L59" s="21">
        <f t="shared" si="6"/>
        <v>920460.05198059988</v>
      </c>
    </row>
    <row r="60" spans="1:12" ht="16.5" customHeight="1" x14ac:dyDescent="0.2">
      <c r="A60" s="19" t="s">
        <v>353</v>
      </c>
      <c r="B60" s="19" t="s">
        <v>385</v>
      </c>
      <c r="C60" s="19" t="s">
        <v>330</v>
      </c>
      <c r="D60" s="19" t="s">
        <v>340</v>
      </c>
      <c r="E60" s="20">
        <v>19742</v>
      </c>
      <c r="F60" s="20">
        <v>369845.01850000001</v>
      </c>
      <c r="G60" s="80">
        <f t="shared" si="2"/>
        <v>18.733918473305643</v>
      </c>
      <c r="H60" s="25">
        <v>8.9332807310974296</v>
      </c>
      <c r="I60">
        <v>0.52</v>
      </c>
      <c r="J60">
        <f t="shared" si="4"/>
        <v>10265.84</v>
      </c>
      <c r="K60">
        <f t="shared" si="5"/>
        <v>192319.40962000002</v>
      </c>
      <c r="L60" s="21">
        <f t="shared" si="6"/>
        <v>1718043.2761743797</v>
      </c>
    </row>
    <row r="61" spans="1:12" ht="16.5" customHeight="1" x14ac:dyDescent="0.2">
      <c r="A61" s="19" t="s">
        <v>354</v>
      </c>
      <c r="B61" s="19" t="s">
        <v>385</v>
      </c>
      <c r="C61" s="19" t="s">
        <v>330</v>
      </c>
      <c r="D61" s="19" t="s">
        <v>340</v>
      </c>
      <c r="E61" s="20">
        <v>6878</v>
      </c>
      <c r="F61" s="20">
        <v>92680.538499999995</v>
      </c>
      <c r="G61" s="80">
        <f t="shared" si="2"/>
        <v>13.474925632451294</v>
      </c>
      <c r="H61" s="25">
        <v>6.6341325455475699</v>
      </c>
      <c r="I61">
        <v>0.52</v>
      </c>
      <c r="J61">
        <f t="shared" si="4"/>
        <v>3576.56</v>
      </c>
      <c r="K61">
        <f t="shared" si="5"/>
        <v>48193.880019999997</v>
      </c>
      <c r="L61" s="21">
        <f t="shared" si="6"/>
        <v>319724.58793689677</v>
      </c>
    </row>
    <row r="62" spans="1:12" ht="16.5" customHeight="1" x14ac:dyDescent="0.2">
      <c r="A62" s="19" t="s">
        <v>341</v>
      </c>
      <c r="B62" s="19" t="s">
        <v>385</v>
      </c>
      <c r="C62" s="19" t="s">
        <v>330</v>
      </c>
      <c r="D62" s="19" t="s">
        <v>342</v>
      </c>
      <c r="E62" s="20">
        <v>1914190</v>
      </c>
      <c r="F62" s="20">
        <v>14169374.586100001</v>
      </c>
      <c r="G62" s="80">
        <f t="shared" si="2"/>
        <v>7.4022822113269848</v>
      </c>
      <c r="H62" s="25">
        <v>0.86928705011879204</v>
      </c>
      <c r="I62">
        <v>0.08</v>
      </c>
      <c r="J62">
        <f t="shared" si="4"/>
        <v>153135.20000000001</v>
      </c>
      <c r="K62">
        <f t="shared" si="5"/>
        <v>1133549.966888</v>
      </c>
      <c r="L62" s="21">
        <f t="shared" si="6"/>
        <v>985380.3068783239</v>
      </c>
    </row>
    <row r="63" spans="1:12" ht="16.5" customHeight="1" x14ac:dyDescent="0.2">
      <c r="A63" s="19" t="s">
        <v>346</v>
      </c>
      <c r="B63" s="19" t="s">
        <v>385</v>
      </c>
      <c r="C63" s="19" t="s">
        <v>330</v>
      </c>
      <c r="D63" s="19" t="s">
        <v>342</v>
      </c>
      <c r="E63" s="20">
        <v>3817536</v>
      </c>
      <c r="F63" s="20">
        <v>27197217.641600002</v>
      </c>
      <c r="G63" s="80">
        <f t="shared" si="2"/>
        <v>7.1242858329561267</v>
      </c>
      <c r="H63" s="25">
        <v>0.71503899541534599</v>
      </c>
      <c r="I63">
        <v>0.08</v>
      </c>
      <c r="J63">
        <f t="shared" si="4"/>
        <v>305402.88</v>
      </c>
      <c r="K63">
        <f t="shared" si="5"/>
        <v>2175777.411328</v>
      </c>
      <c r="L63" s="21">
        <f t="shared" si="6"/>
        <v>1555765.6944433751</v>
      </c>
    </row>
    <row r="64" spans="1:12" ht="16.5" customHeight="1" x14ac:dyDescent="0.2">
      <c r="A64" s="19" t="s">
        <v>347</v>
      </c>
      <c r="B64" s="19" t="s">
        <v>385</v>
      </c>
      <c r="C64" s="19" t="s">
        <v>330</v>
      </c>
      <c r="D64" s="19" t="s">
        <v>342</v>
      </c>
      <c r="E64" s="20">
        <v>4070390.98</v>
      </c>
      <c r="F64" s="20">
        <v>30333480.720199998</v>
      </c>
      <c r="G64" s="80">
        <f t="shared" si="2"/>
        <v>7.4522277759666222</v>
      </c>
      <c r="H64" s="25">
        <v>0.61122228293644099</v>
      </c>
      <c r="I64">
        <v>0.08</v>
      </c>
      <c r="J64">
        <f t="shared" si="4"/>
        <v>325631.27840000001</v>
      </c>
      <c r="K64">
        <f t="shared" si="5"/>
        <v>2426678.457616</v>
      </c>
      <c r="L64" s="21">
        <f t="shared" si="6"/>
        <v>1483239.9468167329</v>
      </c>
    </row>
    <row r="65" spans="1:12" ht="16.5" customHeight="1" x14ac:dyDescent="0.2">
      <c r="A65" s="19" t="s">
        <v>348</v>
      </c>
      <c r="B65" s="19" t="s">
        <v>385</v>
      </c>
      <c r="C65" s="19" t="s">
        <v>330</v>
      </c>
      <c r="D65" s="19" t="s">
        <v>342</v>
      </c>
      <c r="E65" s="20">
        <v>1516831</v>
      </c>
      <c r="F65" s="20">
        <v>11624094.113600001</v>
      </c>
      <c r="G65" s="80">
        <f t="shared" si="2"/>
        <v>7.6634075342605739</v>
      </c>
      <c r="H65" s="25">
        <v>0.63063849652207704</v>
      </c>
      <c r="I65">
        <v>0.08</v>
      </c>
      <c r="J65">
        <f t="shared" si="4"/>
        <v>121346.48</v>
      </c>
      <c r="K65">
        <f t="shared" si="5"/>
        <v>929927.52908800007</v>
      </c>
      <c r="L65" s="21">
        <f t="shared" si="6"/>
        <v>586448.09881854639</v>
      </c>
    </row>
    <row r="66" spans="1:12" ht="16.5" customHeight="1" x14ac:dyDescent="0.2">
      <c r="A66" s="19" t="s">
        <v>349</v>
      </c>
      <c r="B66" s="19" t="s">
        <v>385</v>
      </c>
      <c r="C66" s="19" t="s">
        <v>330</v>
      </c>
      <c r="D66" s="19" t="s">
        <v>342</v>
      </c>
      <c r="E66" s="20">
        <v>2512313</v>
      </c>
      <c r="F66" s="20">
        <v>15531565.5536</v>
      </c>
      <c r="G66" s="80">
        <f t="shared" si="2"/>
        <v>6.1821777595387202</v>
      </c>
      <c r="H66" s="25">
        <v>0.60550099794517398</v>
      </c>
      <c r="I66">
        <v>0.08</v>
      </c>
      <c r="J66">
        <f t="shared" ref="J66:J97" si="7">E66*I66</f>
        <v>200985.04</v>
      </c>
      <c r="K66">
        <f t="shared" ref="K66:K97" si="8">F66*I66</f>
        <v>1242525.244288</v>
      </c>
      <c r="L66" s="21">
        <f t="shared" ref="L66:L97" si="9">K66*H66</f>
        <v>752350.27538845513</v>
      </c>
    </row>
    <row r="67" spans="1:12" ht="16.5" customHeight="1" x14ac:dyDescent="0.2">
      <c r="A67" s="19" t="s">
        <v>350</v>
      </c>
      <c r="B67" s="19" t="s">
        <v>385</v>
      </c>
      <c r="C67" s="19" t="s">
        <v>330</v>
      </c>
      <c r="D67" s="19" t="s">
        <v>342</v>
      </c>
      <c r="E67" s="20">
        <v>3170919</v>
      </c>
      <c r="F67" s="20">
        <v>22092185.1976</v>
      </c>
      <c r="G67" s="80">
        <f t="shared" ref="G67:G130" si="10">F67/E67</f>
        <v>6.9671237889078848</v>
      </c>
      <c r="H67" s="25">
        <v>0.62634963559284695</v>
      </c>
      <c r="I67">
        <v>0.08</v>
      </c>
      <c r="J67">
        <f t="shared" si="7"/>
        <v>253673.52000000002</v>
      </c>
      <c r="K67">
        <f t="shared" si="8"/>
        <v>1767374.815808</v>
      </c>
      <c r="L67" s="21">
        <f t="shared" si="9"/>
        <v>1106994.5718373158</v>
      </c>
    </row>
    <row r="68" spans="1:12" ht="16.5" customHeight="1" x14ac:dyDescent="0.2">
      <c r="A68" s="19" t="s">
        <v>351</v>
      </c>
      <c r="B68" s="19" t="s">
        <v>385</v>
      </c>
      <c r="C68" s="19" t="s">
        <v>330</v>
      </c>
      <c r="D68" s="19" t="s">
        <v>342</v>
      </c>
      <c r="E68" s="20">
        <v>5390823</v>
      </c>
      <c r="F68" s="20">
        <v>40745051.724799998</v>
      </c>
      <c r="G68" s="80">
        <f t="shared" si="10"/>
        <v>7.5582247320678118</v>
      </c>
      <c r="H68" s="25">
        <v>0.74309256246089705</v>
      </c>
      <c r="I68">
        <v>0.08</v>
      </c>
      <c r="J68">
        <f t="shared" si="7"/>
        <v>431265.84</v>
      </c>
      <c r="K68">
        <f t="shared" si="8"/>
        <v>3259604.1379840001</v>
      </c>
      <c r="L68" s="21">
        <f t="shared" si="9"/>
        <v>2422187.5915026739</v>
      </c>
    </row>
    <row r="69" spans="1:12" ht="16.5" customHeight="1" x14ac:dyDescent="0.2">
      <c r="A69" s="19" t="s">
        <v>352</v>
      </c>
      <c r="B69" s="19" t="s">
        <v>385</v>
      </c>
      <c r="C69" s="19" t="s">
        <v>330</v>
      </c>
      <c r="D69" s="19" t="s">
        <v>342</v>
      </c>
      <c r="E69" s="20">
        <v>3468354</v>
      </c>
      <c r="F69" s="20">
        <v>28974794.9188</v>
      </c>
      <c r="G69" s="80">
        <f t="shared" si="10"/>
        <v>8.3540477467986261</v>
      </c>
      <c r="H69" s="25">
        <v>0.94139161880291999</v>
      </c>
      <c r="I69">
        <v>0.08</v>
      </c>
      <c r="J69">
        <f t="shared" si="7"/>
        <v>277468.32</v>
      </c>
      <c r="K69">
        <f t="shared" si="8"/>
        <v>2317983.593504</v>
      </c>
      <c r="L69" s="21">
        <f t="shared" si="9"/>
        <v>2182130.3274473404</v>
      </c>
    </row>
    <row r="70" spans="1:12" ht="16.5" customHeight="1" x14ac:dyDescent="0.2">
      <c r="A70" s="19" t="s">
        <v>353</v>
      </c>
      <c r="B70" s="19" t="s">
        <v>385</v>
      </c>
      <c r="C70" s="19" t="s">
        <v>330</v>
      </c>
      <c r="D70" s="19" t="s">
        <v>342</v>
      </c>
      <c r="E70" s="20">
        <v>5380950</v>
      </c>
      <c r="F70" s="20">
        <v>33345276.993500002</v>
      </c>
      <c r="G70" s="80">
        <f t="shared" si="10"/>
        <v>6.1969126257445248</v>
      </c>
      <c r="H70" s="25">
        <v>0.55241034106051501</v>
      </c>
      <c r="I70">
        <v>0.08</v>
      </c>
      <c r="J70">
        <f t="shared" si="7"/>
        <v>430476</v>
      </c>
      <c r="K70">
        <f t="shared" si="8"/>
        <v>2667622.1594800004</v>
      </c>
      <c r="L70" s="21">
        <f t="shared" si="9"/>
        <v>1473622.0669389346</v>
      </c>
    </row>
    <row r="71" spans="1:12" ht="16.5" customHeight="1" x14ac:dyDescent="0.2">
      <c r="A71" s="19" t="s">
        <v>354</v>
      </c>
      <c r="B71" s="19" t="s">
        <v>385</v>
      </c>
      <c r="C71" s="19" t="s">
        <v>330</v>
      </c>
      <c r="D71" s="19" t="s">
        <v>342</v>
      </c>
      <c r="E71" s="20">
        <v>2016770</v>
      </c>
      <c r="F71" s="20">
        <v>15073138.774499999</v>
      </c>
      <c r="G71" s="80">
        <f t="shared" si="10"/>
        <v>7.4739007296320352</v>
      </c>
      <c r="H71" s="25">
        <v>0.495539012869604</v>
      </c>
      <c r="I71">
        <v>0.08</v>
      </c>
      <c r="J71">
        <f t="shared" si="7"/>
        <v>161341.6</v>
      </c>
      <c r="K71">
        <f t="shared" si="8"/>
        <v>1205851.1019599999</v>
      </c>
      <c r="L71" s="21">
        <f t="shared" si="9"/>
        <v>597546.2647329825</v>
      </c>
    </row>
    <row r="72" spans="1:12" ht="16.5" customHeight="1" x14ac:dyDescent="0.2">
      <c r="A72" s="19" t="s">
        <v>341</v>
      </c>
      <c r="B72" s="19" t="s">
        <v>385</v>
      </c>
      <c r="C72" s="19" t="s">
        <v>330</v>
      </c>
      <c r="D72" s="19" t="s">
        <v>343</v>
      </c>
      <c r="E72" s="20">
        <v>370330</v>
      </c>
      <c r="F72" s="20">
        <v>2641446.4306999999</v>
      </c>
      <c r="G72" s="80">
        <f t="shared" si="10"/>
        <v>7.1326828253179597</v>
      </c>
      <c r="H72" s="25">
        <v>1.1507507312716001</v>
      </c>
      <c r="I72">
        <v>0.64</v>
      </c>
      <c r="J72">
        <f t="shared" si="7"/>
        <v>237011.20000000001</v>
      </c>
      <c r="K72">
        <f t="shared" si="8"/>
        <v>1690525.7156479999</v>
      </c>
      <c r="L72" s="21">
        <f t="shared" si="9"/>
        <v>1945373.7035153811</v>
      </c>
    </row>
    <row r="73" spans="1:12" ht="16.5" customHeight="1" x14ac:dyDescent="0.2">
      <c r="A73" s="19" t="s">
        <v>346</v>
      </c>
      <c r="B73" s="19" t="s">
        <v>385</v>
      </c>
      <c r="C73" s="19" t="s">
        <v>330</v>
      </c>
      <c r="D73" s="19" t="s">
        <v>343</v>
      </c>
      <c r="E73" s="20">
        <v>209160</v>
      </c>
      <c r="F73" s="20">
        <v>1702750.2217000001</v>
      </c>
      <c r="G73" s="80">
        <f t="shared" si="10"/>
        <v>8.1408979809715056</v>
      </c>
      <c r="H73" s="25">
        <v>1.27516723822009</v>
      </c>
      <c r="I73">
        <v>0.64</v>
      </c>
      <c r="J73">
        <f t="shared" si="7"/>
        <v>133862.39999999999</v>
      </c>
      <c r="K73">
        <f t="shared" si="8"/>
        <v>1089760.1418880001</v>
      </c>
      <c r="L73" s="21">
        <f t="shared" si="9"/>
        <v>1389626.4304536546</v>
      </c>
    </row>
    <row r="74" spans="1:12" ht="16.5" customHeight="1" x14ac:dyDescent="0.2">
      <c r="A74" s="19" t="s">
        <v>347</v>
      </c>
      <c r="B74" s="19" t="s">
        <v>385</v>
      </c>
      <c r="C74" s="19" t="s">
        <v>330</v>
      </c>
      <c r="D74" s="19" t="s">
        <v>343</v>
      </c>
      <c r="E74" s="20">
        <v>619225</v>
      </c>
      <c r="F74" s="20">
        <v>4927798.6827999996</v>
      </c>
      <c r="G74" s="80">
        <f t="shared" si="10"/>
        <v>7.9580099039928935</v>
      </c>
      <c r="H74" s="25">
        <v>1.30658902137447</v>
      </c>
      <c r="I74">
        <v>0.64</v>
      </c>
      <c r="J74">
        <f t="shared" si="7"/>
        <v>396304</v>
      </c>
      <c r="K74">
        <f t="shared" si="8"/>
        <v>3153791.1569919996</v>
      </c>
      <c r="L74" s="21">
        <f t="shared" si="9"/>
        <v>4120708.9014336341</v>
      </c>
    </row>
    <row r="75" spans="1:12" ht="16.5" customHeight="1" x14ac:dyDescent="0.2">
      <c r="A75" s="19" t="s">
        <v>348</v>
      </c>
      <c r="B75" s="19" t="s">
        <v>385</v>
      </c>
      <c r="C75" s="19" t="s">
        <v>330</v>
      </c>
      <c r="D75" s="19" t="s">
        <v>343</v>
      </c>
      <c r="E75" s="20">
        <v>614204</v>
      </c>
      <c r="F75" s="20">
        <v>4970006.7858999996</v>
      </c>
      <c r="G75" s="80">
        <f t="shared" si="10"/>
        <v>8.0917851168341457</v>
      </c>
      <c r="H75" s="25">
        <v>0.85288048444595799</v>
      </c>
      <c r="I75">
        <v>0.64</v>
      </c>
      <c r="J75">
        <f t="shared" si="7"/>
        <v>393090.56</v>
      </c>
      <c r="K75">
        <f t="shared" si="8"/>
        <v>3180804.3429759997</v>
      </c>
      <c r="L75" s="21">
        <f t="shared" si="9"/>
        <v>2712845.9489651779</v>
      </c>
    </row>
    <row r="76" spans="1:12" ht="16.5" customHeight="1" x14ac:dyDescent="0.2">
      <c r="A76" s="19" t="s">
        <v>349</v>
      </c>
      <c r="B76" s="19" t="s">
        <v>385</v>
      </c>
      <c r="C76" s="19" t="s">
        <v>330</v>
      </c>
      <c r="D76" s="19" t="s">
        <v>343</v>
      </c>
      <c r="E76" s="20">
        <v>223453</v>
      </c>
      <c r="F76" s="20">
        <v>1587645.9305</v>
      </c>
      <c r="G76" s="80">
        <f t="shared" si="10"/>
        <v>7.105055338259052</v>
      </c>
      <c r="H76" s="25">
        <v>0.772014870678573</v>
      </c>
      <c r="I76">
        <v>0.64</v>
      </c>
      <c r="J76">
        <f t="shared" si="7"/>
        <v>143009.92000000001</v>
      </c>
      <c r="K76">
        <f t="shared" si="8"/>
        <v>1016093.39552</v>
      </c>
      <c r="L76" s="21">
        <f t="shared" si="9"/>
        <v>784439.21133972495</v>
      </c>
    </row>
    <row r="77" spans="1:12" ht="16.5" customHeight="1" x14ac:dyDescent="0.2">
      <c r="A77" s="19" t="s">
        <v>350</v>
      </c>
      <c r="B77" s="19" t="s">
        <v>385</v>
      </c>
      <c r="C77" s="19" t="s">
        <v>330</v>
      </c>
      <c r="D77" s="19" t="s">
        <v>343</v>
      </c>
      <c r="E77" s="20">
        <v>482275</v>
      </c>
      <c r="F77" s="20">
        <v>4422927.0619000001</v>
      </c>
      <c r="G77" s="80">
        <f t="shared" si="10"/>
        <v>9.1709648269141049</v>
      </c>
      <c r="H77" s="25">
        <v>1.4729381893634199</v>
      </c>
      <c r="I77">
        <v>0.64</v>
      </c>
      <c r="J77">
        <f t="shared" si="7"/>
        <v>308656</v>
      </c>
      <c r="K77">
        <f t="shared" si="8"/>
        <v>2830673.3196160002</v>
      </c>
      <c r="L77" s="21">
        <f t="shared" si="9"/>
        <v>4169406.8340745326</v>
      </c>
    </row>
    <row r="78" spans="1:12" ht="16.5" customHeight="1" x14ac:dyDescent="0.2">
      <c r="A78" s="19" t="s">
        <v>351</v>
      </c>
      <c r="B78" s="19" t="s">
        <v>385</v>
      </c>
      <c r="C78" s="19" t="s">
        <v>330</v>
      </c>
      <c r="D78" s="19" t="s">
        <v>343</v>
      </c>
      <c r="E78" s="20">
        <v>556330</v>
      </c>
      <c r="F78" s="20">
        <v>4564869.5998999998</v>
      </c>
      <c r="G78" s="80">
        <f t="shared" si="10"/>
        <v>8.2053270539068528</v>
      </c>
      <c r="H78" s="25">
        <v>1.4934812977512599</v>
      </c>
      <c r="I78">
        <v>0.64</v>
      </c>
      <c r="J78">
        <f t="shared" si="7"/>
        <v>356051.20000000001</v>
      </c>
      <c r="K78">
        <f t="shared" si="8"/>
        <v>2921516.5439359997</v>
      </c>
      <c r="L78" s="21">
        <f t="shared" si="9"/>
        <v>4363230.3194393124</v>
      </c>
    </row>
    <row r="79" spans="1:12" ht="16.5" customHeight="1" x14ac:dyDescent="0.2">
      <c r="A79" s="19" t="s">
        <v>352</v>
      </c>
      <c r="B79" s="19" t="s">
        <v>385</v>
      </c>
      <c r="C79" s="19" t="s">
        <v>330</v>
      </c>
      <c r="D79" s="19" t="s">
        <v>343</v>
      </c>
      <c r="E79" s="20">
        <v>522790</v>
      </c>
      <c r="F79" s="20">
        <v>4587873.915</v>
      </c>
      <c r="G79" s="80">
        <f t="shared" si="10"/>
        <v>8.7757491822720404</v>
      </c>
      <c r="H79" s="25">
        <v>1.61653626647471</v>
      </c>
      <c r="I79">
        <v>0.64</v>
      </c>
      <c r="J79">
        <f t="shared" si="7"/>
        <v>334585.60000000003</v>
      </c>
      <c r="K79">
        <f t="shared" si="8"/>
        <v>2936239.3056000001</v>
      </c>
      <c r="L79" s="21">
        <f t="shared" si="9"/>
        <v>4746537.3245509192</v>
      </c>
    </row>
    <row r="80" spans="1:12" ht="16.5" customHeight="1" x14ac:dyDescent="0.2">
      <c r="A80" s="19" t="s">
        <v>353</v>
      </c>
      <c r="B80" s="19" t="s">
        <v>385</v>
      </c>
      <c r="C80" s="19" t="s">
        <v>330</v>
      </c>
      <c r="D80" s="19" t="s">
        <v>343</v>
      </c>
      <c r="E80" s="20">
        <v>526332</v>
      </c>
      <c r="F80" s="20">
        <v>4300971.2434999999</v>
      </c>
      <c r="G80" s="80">
        <f t="shared" si="10"/>
        <v>8.1715936775647311</v>
      </c>
      <c r="H80" s="25">
        <v>1.23732574211154</v>
      </c>
      <c r="I80">
        <v>0.64</v>
      </c>
      <c r="J80">
        <f t="shared" si="7"/>
        <v>336852.47999999998</v>
      </c>
      <c r="K80">
        <f t="shared" si="8"/>
        <v>2752621.5958400001</v>
      </c>
      <c r="L80" s="21">
        <f t="shared" si="9"/>
        <v>3405889.5588249797</v>
      </c>
    </row>
    <row r="81" spans="1:12" ht="16.5" customHeight="1" x14ac:dyDescent="0.2">
      <c r="A81" s="19" t="s">
        <v>354</v>
      </c>
      <c r="B81" s="19" t="s">
        <v>385</v>
      </c>
      <c r="C81" s="19" t="s">
        <v>330</v>
      </c>
      <c r="D81" s="19" t="s">
        <v>343</v>
      </c>
      <c r="E81" s="20">
        <v>288617</v>
      </c>
      <c r="F81" s="20">
        <v>2395886.7011000002</v>
      </c>
      <c r="G81" s="80">
        <f t="shared" si="10"/>
        <v>8.3012667344612421</v>
      </c>
      <c r="H81" s="25">
        <v>1.5952462675471299</v>
      </c>
      <c r="I81">
        <v>0.64</v>
      </c>
      <c r="J81">
        <f t="shared" si="7"/>
        <v>184714.88</v>
      </c>
      <c r="K81">
        <f t="shared" si="8"/>
        <v>1533367.4887040001</v>
      </c>
      <c r="L81" s="21">
        <f t="shared" si="9"/>
        <v>2446098.7631331719</v>
      </c>
    </row>
    <row r="82" spans="1:12" ht="16.5" customHeight="1" x14ac:dyDescent="0.2">
      <c r="A82" s="19" t="s">
        <v>341</v>
      </c>
      <c r="B82" s="19" t="s">
        <v>385</v>
      </c>
      <c r="C82" s="19" t="s">
        <v>330</v>
      </c>
      <c r="D82" s="19" t="s">
        <v>344</v>
      </c>
      <c r="E82" s="20">
        <v>33394423</v>
      </c>
      <c r="F82" s="20">
        <v>99849983.725099996</v>
      </c>
      <c r="G82" s="80">
        <f t="shared" si="10"/>
        <v>2.990019732489464</v>
      </c>
      <c r="H82" s="25">
        <v>0.48538439894930702</v>
      </c>
      <c r="I82">
        <v>0.14000000000000001</v>
      </c>
      <c r="J82">
        <f t="shared" si="7"/>
        <v>4675219.2200000007</v>
      </c>
      <c r="K82">
        <f t="shared" si="8"/>
        <v>13978997.721514001</v>
      </c>
      <c r="L82" s="21">
        <f t="shared" si="9"/>
        <v>6785187.4069708055</v>
      </c>
    </row>
    <row r="83" spans="1:12" ht="16.5" customHeight="1" x14ac:dyDescent="0.2">
      <c r="A83" s="19" t="s">
        <v>346</v>
      </c>
      <c r="B83" s="19" t="s">
        <v>385</v>
      </c>
      <c r="C83" s="19" t="s">
        <v>330</v>
      </c>
      <c r="D83" s="19" t="s">
        <v>344</v>
      </c>
      <c r="E83" s="20">
        <v>27232371</v>
      </c>
      <c r="F83" s="20">
        <v>107093188.65459999</v>
      </c>
      <c r="G83" s="80">
        <f t="shared" si="10"/>
        <v>3.9325693915744608</v>
      </c>
      <c r="H83" s="25">
        <v>0.53367230292346801</v>
      </c>
      <c r="I83">
        <v>0.14000000000000001</v>
      </c>
      <c r="J83">
        <f t="shared" si="7"/>
        <v>3812531.9400000004</v>
      </c>
      <c r="K83">
        <f t="shared" si="8"/>
        <v>14993046.411644001</v>
      </c>
      <c r="L83" s="21">
        <f t="shared" si="9"/>
        <v>8001373.6063404921</v>
      </c>
    </row>
    <row r="84" spans="1:12" ht="16.5" customHeight="1" x14ac:dyDescent="0.2">
      <c r="A84" s="19" t="s">
        <v>347</v>
      </c>
      <c r="B84" s="19" t="s">
        <v>385</v>
      </c>
      <c r="C84" s="19" t="s">
        <v>330</v>
      </c>
      <c r="D84" s="19" t="s">
        <v>344</v>
      </c>
      <c r="E84" s="20">
        <v>92481987</v>
      </c>
      <c r="F84" s="20">
        <v>256481314.2105</v>
      </c>
      <c r="G84" s="80">
        <f t="shared" si="10"/>
        <v>2.7733110255351674</v>
      </c>
      <c r="H84" s="25">
        <v>0.42030727418907299</v>
      </c>
      <c r="I84">
        <v>0.14000000000000001</v>
      </c>
      <c r="J84">
        <f t="shared" si="7"/>
        <v>12947478.180000002</v>
      </c>
      <c r="K84">
        <f t="shared" si="8"/>
        <v>35907383.989470005</v>
      </c>
      <c r="L84" s="21">
        <f t="shared" si="9"/>
        <v>15092134.6878745</v>
      </c>
    </row>
    <row r="85" spans="1:12" ht="16.5" customHeight="1" x14ac:dyDescent="0.2">
      <c r="A85" s="19" t="s">
        <v>348</v>
      </c>
      <c r="B85" s="19" t="s">
        <v>385</v>
      </c>
      <c r="C85" s="19" t="s">
        <v>330</v>
      </c>
      <c r="D85" s="19" t="s">
        <v>344</v>
      </c>
      <c r="E85" s="20">
        <v>44659138</v>
      </c>
      <c r="F85" s="20">
        <v>149221578.95500001</v>
      </c>
      <c r="G85" s="80">
        <f t="shared" si="10"/>
        <v>3.3413448095437941</v>
      </c>
      <c r="H85" s="25">
        <v>0.32668182704365001</v>
      </c>
      <c r="I85">
        <v>0.14000000000000001</v>
      </c>
      <c r="J85">
        <f t="shared" si="7"/>
        <v>6252279.3200000003</v>
      </c>
      <c r="K85">
        <f t="shared" si="8"/>
        <v>20891021.053700004</v>
      </c>
      <c r="L85" s="21">
        <f t="shared" si="9"/>
        <v>6824716.926630076</v>
      </c>
    </row>
    <row r="86" spans="1:12" ht="16.5" customHeight="1" x14ac:dyDescent="0.2">
      <c r="A86" s="19" t="s">
        <v>349</v>
      </c>
      <c r="B86" s="19" t="s">
        <v>385</v>
      </c>
      <c r="C86" s="19" t="s">
        <v>330</v>
      </c>
      <c r="D86" s="19" t="s">
        <v>344</v>
      </c>
      <c r="E86" s="20">
        <v>97332941</v>
      </c>
      <c r="F86" s="20">
        <v>327108910.75779998</v>
      </c>
      <c r="G86" s="80">
        <f t="shared" si="10"/>
        <v>3.3607215337076886</v>
      </c>
      <c r="H86" s="25">
        <v>0.23339196023322101</v>
      </c>
      <c r="I86">
        <v>0.14000000000000001</v>
      </c>
      <c r="J86">
        <f t="shared" si="7"/>
        <v>13626611.740000002</v>
      </c>
      <c r="K86">
        <f t="shared" si="8"/>
        <v>45795247.506092004</v>
      </c>
      <c r="L86" s="21">
        <f t="shared" si="9"/>
        <v>10688242.584812339</v>
      </c>
    </row>
    <row r="87" spans="1:12" ht="16.5" customHeight="1" x14ac:dyDescent="0.2">
      <c r="A87" s="19" t="s">
        <v>350</v>
      </c>
      <c r="B87" s="19" t="s">
        <v>385</v>
      </c>
      <c r="C87" s="19" t="s">
        <v>330</v>
      </c>
      <c r="D87" s="19" t="s">
        <v>344</v>
      </c>
      <c r="E87" s="20">
        <v>13069770</v>
      </c>
      <c r="F87" s="20">
        <v>51865966.416500002</v>
      </c>
      <c r="G87" s="80">
        <f t="shared" si="10"/>
        <v>3.9683916715060787</v>
      </c>
      <c r="H87" s="25">
        <v>0.45689277146653201</v>
      </c>
      <c r="I87">
        <v>0.14000000000000001</v>
      </c>
      <c r="J87">
        <f t="shared" si="7"/>
        <v>1829767.8000000003</v>
      </c>
      <c r="K87">
        <f t="shared" si="8"/>
        <v>7261235.2983100014</v>
      </c>
      <c r="L87" s="21">
        <f t="shared" si="9"/>
        <v>3317605.9197154669</v>
      </c>
    </row>
    <row r="88" spans="1:12" ht="16.5" customHeight="1" x14ac:dyDescent="0.2">
      <c r="A88" s="19" t="s">
        <v>351</v>
      </c>
      <c r="B88" s="19" t="s">
        <v>385</v>
      </c>
      <c r="C88" s="19" t="s">
        <v>330</v>
      </c>
      <c r="D88" s="19" t="s">
        <v>344</v>
      </c>
      <c r="E88" s="20">
        <v>48590303</v>
      </c>
      <c r="F88" s="20">
        <v>187722886.3355</v>
      </c>
      <c r="G88" s="80">
        <f t="shared" si="10"/>
        <v>3.8633816779347927</v>
      </c>
      <c r="H88" s="25">
        <v>0.41072879033547299</v>
      </c>
      <c r="I88">
        <v>0.14000000000000001</v>
      </c>
      <c r="J88">
        <f t="shared" si="7"/>
        <v>6802642.4200000009</v>
      </c>
      <c r="K88">
        <f t="shared" si="8"/>
        <v>26281204.086970001</v>
      </c>
      <c r="L88" s="21">
        <f t="shared" si="9"/>
        <v>10794447.163200878</v>
      </c>
    </row>
    <row r="89" spans="1:12" ht="16.5" customHeight="1" x14ac:dyDescent="0.2">
      <c r="A89" s="19" t="s">
        <v>352</v>
      </c>
      <c r="B89" s="19" t="s">
        <v>385</v>
      </c>
      <c r="C89" s="19" t="s">
        <v>330</v>
      </c>
      <c r="D89" s="19" t="s">
        <v>344</v>
      </c>
      <c r="E89" s="20">
        <v>24027023</v>
      </c>
      <c r="F89" s="20">
        <v>91109517.594300002</v>
      </c>
      <c r="G89" s="80">
        <f t="shared" si="10"/>
        <v>3.791960310451278</v>
      </c>
      <c r="H89" s="25">
        <v>0.49897822884568099</v>
      </c>
      <c r="I89">
        <v>0.14000000000000001</v>
      </c>
      <c r="J89">
        <f t="shared" si="7"/>
        <v>3363783.22</v>
      </c>
      <c r="K89">
        <f t="shared" si="8"/>
        <v>12755332.463202002</v>
      </c>
      <c r="L89" s="21">
        <f t="shared" si="9"/>
        <v>6364633.2008263525</v>
      </c>
    </row>
    <row r="90" spans="1:12" ht="16.5" customHeight="1" x14ac:dyDescent="0.2">
      <c r="A90" s="19" t="s">
        <v>353</v>
      </c>
      <c r="B90" s="19" t="s">
        <v>385</v>
      </c>
      <c r="C90" s="19" t="s">
        <v>330</v>
      </c>
      <c r="D90" s="19" t="s">
        <v>344</v>
      </c>
      <c r="E90" s="20">
        <v>48719302</v>
      </c>
      <c r="F90" s="20">
        <v>167451242.07659999</v>
      </c>
      <c r="G90" s="80">
        <f t="shared" si="10"/>
        <v>3.4370615998685694</v>
      </c>
      <c r="H90" s="25">
        <v>0.35334781644498198</v>
      </c>
      <c r="I90">
        <v>0.14000000000000001</v>
      </c>
      <c r="J90">
        <f t="shared" si="7"/>
        <v>6820702.2800000003</v>
      </c>
      <c r="K90">
        <f t="shared" si="8"/>
        <v>23443173.890724</v>
      </c>
      <c r="L90" s="21">
        <f t="shared" si="9"/>
        <v>8283594.3048273381</v>
      </c>
    </row>
    <row r="91" spans="1:12" ht="16.5" customHeight="1" x14ac:dyDescent="0.2">
      <c r="A91" s="19" t="s">
        <v>354</v>
      </c>
      <c r="B91" s="19" t="s">
        <v>385</v>
      </c>
      <c r="C91" s="19" t="s">
        <v>330</v>
      </c>
      <c r="D91" s="19" t="s">
        <v>344</v>
      </c>
      <c r="E91" s="20">
        <v>23003246</v>
      </c>
      <c r="F91" s="20">
        <v>82763469.865199998</v>
      </c>
      <c r="G91" s="80">
        <f t="shared" si="10"/>
        <v>3.597903959519452</v>
      </c>
      <c r="H91" s="25">
        <v>0.46108037107281002</v>
      </c>
      <c r="I91">
        <v>0.14000000000000001</v>
      </c>
      <c r="J91">
        <f t="shared" si="7"/>
        <v>3220454.4400000004</v>
      </c>
      <c r="K91">
        <f t="shared" si="8"/>
        <v>11586885.781128</v>
      </c>
      <c r="L91" s="21">
        <f t="shared" si="9"/>
        <v>5342485.5955407647</v>
      </c>
    </row>
    <row r="92" spans="1:12" ht="16.5" customHeight="1" x14ac:dyDescent="0.2">
      <c r="A92" s="19" t="s">
        <v>341</v>
      </c>
      <c r="B92" s="19" t="s">
        <v>385</v>
      </c>
      <c r="C92" s="19" t="s">
        <v>330</v>
      </c>
      <c r="D92" s="19" t="s">
        <v>345</v>
      </c>
      <c r="E92" s="20">
        <v>3531906</v>
      </c>
      <c r="F92" s="20">
        <v>21882359.823399998</v>
      </c>
      <c r="G92" s="80">
        <f t="shared" si="10"/>
        <v>6.1956235028338797</v>
      </c>
      <c r="H92" s="26">
        <v>1.8555143449220199</v>
      </c>
      <c r="I92">
        <v>0.12</v>
      </c>
      <c r="J92">
        <f t="shared" si="7"/>
        <v>423828.72</v>
      </c>
      <c r="K92">
        <f t="shared" si="8"/>
        <v>2625883.1788079995</v>
      </c>
      <c r="L92" s="21">
        <f t="shared" si="9"/>
        <v>4872363.9063676763</v>
      </c>
    </row>
    <row r="93" spans="1:12" ht="16.5" customHeight="1" x14ac:dyDescent="0.2">
      <c r="A93" s="19" t="s">
        <v>346</v>
      </c>
      <c r="B93" s="19" t="s">
        <v>385</v>
      </c>
      <c r="C93" s="19" t="s">
        <v>330</v>
      </c>
      <c r="D93" s="19" t="s">
        <v>345</v>
      </c>
      <c r="E93" s="20">
        <v>3689952</v>
      </c>
      <c r="F93" s="20">
        <v>25070565.931400001</v>
      </c>
      <c r="G93" s="80">
        <f t="shared" si="10"/>
        <v>6.7942796901965119</v>
      </c>
      <c r="H93" s="26">
        <v>1.82216823042661</v>
      </c>
      <c r="I93">
        <v>0.12</v>
      </c>
      <c r="J93">
        <f t="shared" si="7"/>
        <v>442794.23999999999</v>
      </c>
      <c r="K93">
        <f t="shared" si="8"/>
        <v>3008467.9117680001</v>
      </c>
      <c r="L93" s="21">
        <f t="shared" si="9"/>
        <v>5481934.651081535</v>
      </c>
    </row>
    <row r="94" spans="1:12" ht="16.5" customHeight="1" x14ac:dyDescent="0.2">
      <c r="A94" s="19" t="s">
        <v>347</v>
      </c>
      <c r="B94" s="19" t="s">
        <v>385</v>
      </c>
      <c r="C94" s="19" t="s">
        <v>330</v>
      </c>
      <c r="D94" s="19" t="s">
        <v>345</v>
      </c>
      <c r="E94" s="20">
        <v>2323813</v>
      </c>
      <c r="F94" s="20">
        <v>14345886.3248</v>
      </c>
      <c r="G94" s="80">
        <f t="shared" si="10"/>
        <v>6.1734254541135627</v>
      </c>
      <c r="H94" s="26">
        <v>2.4526310698821399</v>
      </c>
      <c r="I94">
        <v>0.12</v>
      </c>
      <c r="J94">
        <f t="shared" si="7"/>
        <v>278857.56</v>
      </c>
      <c r="K94">
        <f t="shared" si="8"/>
        <v>1721506.358976</v>
      </c>
      <c r="L94" s="21">
        <f t="shared" si="9"/>
        <v>4222219.9830242144</v>
      </c>
    </row>
    <row r="95" spans="1:12" ht="16.5" customHeight="1" x14ac:dyDescent="0.2">
      <c r="A95" s="19" t="s">
        <v>348</v>
      </c>
      <c r="B95" s="19" t="s">
        <v>385</v>
      </c>
      <c r="C95" s="19" t="s">
        <v>330</v>
      </c>
      <c r="D95" s="19" t="s">
        <v>345</v>
      </c>
      <c r="E95" s="20">
        <v>3291794</v>
      </c>
      <c r="F95" s="20">
        <v>19835398.906599998</v>
      </c>
      <c r="G95" s="80">
        <f t="shared" si="10"/>
        <v>6.0257108757716908</v>
      </c>
      <c r="H95" s="26">
        <v>2.41930115677726</v>
      </c>
      <c r="I95">
        <v>0.12</v>
      </c>
      <c r="J95">
        <f t="shared" si="7"/>
        <v>395015.27999999997</v>
      </c>
      <c r="K95">
        <f t="shared" si="8"/>
        <v>2380247.8687919998</v>
      </c>
      <c r="L95" s="21">
        <f t="shared" si="9"/>
        <v>5758536.4223850928</v>
      </c>
    </row>
    <row r="96" spans="1:12" ht="16.5" customHeight="1" x14ac:dyDescent="0.2">
      <c r="A96" s="19" t="s">
        <v>349</v>
      </c>
      <c r="B96" s="19" t="s">
        <v>385</v>
      </c>
      <c r="C96" s="19" t="s">
        <v>330</v>
      </c>
      <c r="D96" s="19" t="s">
        <v>345</v>
      </c>
      <c r="E96" s="20">
        <v>3208702</v>
      </c>
      <c r="F96" s="20">
        <v>17579748.5031</v>
      </c>
      <c r="G96" s="80">
        <f t="shared" si="10"/>
        <v>5.4787725700610403</v>
      </c>
      <c r="H96" s="26">
        <v>1.98196792697879</v>
      </c>
      <c r="I96">
        <v>0.12</v>
      </c>
      <c r="J96">
        <f t="shared" si="7"/>
        <v>385044.24</v>
      </c>
      <c r="K96">
        <f t="shared" si="8"/>
        <v>2109569.8203719999</v>
      </c>
      <c r="L96" s="21">
        <f t="shared" si="9"/>
        <v>4181099.7236997108</v>
      </c>
    </row>
    <row r="97" spans="1:15" ht="16.5" customHeight="1" x14ac:dyDescent="0.2">
      <c r="A97" s="19" t="s">
        <v>350</v>
      </c>
      <c r="B97" s="19" t="s">
        <v>385</v>
      </c>
      <c r="C97" s="19" t="s">
        <v>330</v>
      </c>
      <c r="D97" s="19" t="s">
        <v>345</v>
      </c>
      <c r="E97" s="20">
        <v>1977727</v>
      </c>
      <c r="F97" s="20">
        <v>10571478.830399999</v>
      </c>
      <c r="G97" s="80">
        <f t="shared" si="10"/>
        <v>5.3452669809331619</v>
      </c>
      <c r="H97" s="26">
        <v>2.3334961402549199</v>
      </c>
      <c r="I97">
        <v>0.12</v>
      </c>
      <c r="J97">
        <f t="shared" si="7"/>
        <v>237327.24</v>
      </c>
      <c r="K97">
        <f t="shared" si="8"/>
        <v>1268577.4596479998</v>
      </c>
      <c r="L97" s="21">
        <f t="shared" si="9"/>
        <v>2960220.605702999</v>
      </c>
    </row>
    <row r="98" spans="1:15" ht="16.5" customHeight="1" x14ac:dyDescent="0.2">
      <c r="A98" s="19" t="s">
        <v>351</v>
      </c>
      <c r="B98" s="19" t="s">
        <v>385</v>
      </c>
      <c r="C98" s="19" t="s">
        <v>330</v>
      </c>
      <c r="D98" s="19" t="s">
        <v>345</v>
      </c>
      <c r="E98" s="20">
        <v>1425780</v>
      </c>
      <c r="F98" s="20">
        <v>8173284.5003000004</v>
      </c>
      <c r="G98" s="80">
        <f t="shared" si="10"/>
        <v>5.7325004561012225</v>
      </c>
      <c r="H98" s="26">
        <v>2.6397669283690099</v>
      </c>
      <c r="I98">
        <v>0.12</v>
      </c>
      <c r="J98">
        <f t="shared" ref="J98:J129" si="11">E98*I98</f>
        <v>171093.6</v>
      </c>
      <c r="K98">
        <f t="shared" ref="K98:K129" si="12">F98*I98</f>
        <v>980794.14003600006</v>
      </c>
      <c r="L98" s="21">
        <f t="shared" ref="L98:L129" si="13">K98*H98</f>
        <v>2589067.9344051564</v>
      </c>
    </row>
    <row r="99" spans="1:15" ht="16.5" customHeight="1" x14ac:dyDescent="0.2">
      <c r="A99" s="19" t="s">
        <v>352</v>
      </c>
      <c r="B99" s="19" t="s">
        <v>385</v>
      </c>
      <c r="C99" s="19" t="s">
        <v>330</v>
      </c>
      <c r="D99" s="19" t="s">
        <v>345</v>
      </c>
      <c r="E99" s="20">
        <v>1312254</v>
      </c>
      <c r="F99" s="20">
        <v>6068390.4025999997</v>
      </c>
      <c r="G99" s="80">
        <f t="shared" si="10"/>
        <v>4.6244022899530117</v>
      </c>
      <c r="H99" s="26">
        <v>2.4153222874993898</v>
      </c>
      <c r="I99">
        <v>0.12</v>
      </c>
      <c r="J99">
        <f t="shared" si="11"/>
        <v>157470.47999999998</v>
      </c>
      <c r="K99">
        <f t="shared" si="12"/>
        <v>728206.84831199993</v>
      </c>
      <c r="L99" s="21">
        <f t="shared" si="13"/>
        <v>1758854.2306376609</v>
      </c>
      <c r="O99" s="21"/>
    </row>
    <row r="100" spans="1:15" ht="16.5" customHeight="1" x14ac:dyDescent="0.2">
      <c r="A100" s="19" t="s">
        <v>353</v>
      </c>
      <c r="B100" s="19" t="s">
        <v>385</v>
      </c>
      <c r="C100" s="19" t="s">
        <v>330</v>
      </c>
      <c r="D100" s="19" t="s">
        <v>345</v>
      </c>
      <c r="E100" s="20">
        <v>2590607</v>
      </c>
      <c r="F100" s="20">
        <v>14140512.194</v>
      </c>
      <c r="G100" s="80">
        <f t="shared" si="10"/>
        <v>5.4583779762812341</v>
      </c>
      <c r="H100" s="26">
        <v>2.5651428745114302</v>
      </c>
      <c r="I100">
        <v>0.12</v>
      </c>
      <c r="J100">
        <f t="shared" si="11"/>
        <v>310872.83999999997</v>
      </c>
      <c r="K100">
        <f t="shared" si="12"/>
        <v>1696861.46328</v>
      </c>
      <c r="L100" s="21">
        <f t="shared" si="13"/>
        <v>4352692.091565731</v>
      </c>
      <c r="O100" s="21"/>
    </row>
    <row r="101" spans="1:15" ht="16.5" customHeight="1" x14ac:dyDescent="0.2">
      <c r="A101" s="19" t="s">
        <v>354</v>
      </c>
      <c r="B101" s="19" t="s">
        <v>385</v>
      </c>
      <c r="C101" s="19" t="s">
        <v>330</v>
      </c>
      <c r="D101" s="19" t="s">
        <v>345</v>
      </c>
      <c r="E101" s="20">
        <v>941844</v>
      </c>
      <c r="F101" s="20">
        <v>4359346.3113000002</v>
      </c>
      <c r="G101" s="80">
        <f t="shared" si="10"/>
        <v>4.628522676048263</v>
      </c>
      <c r="H101" s="26">
        <v>2.13827100297374</v>
      </c>
      <c r="I101">
        <v>0.12</v>
      </c>
      <c r="J101">
        <f t="shared" si="11"/>
        <v>113021.28</v>
      </c>
      <c r="K101">
        <f t="shared" si="12"/>
        <v>523121.557356</v>
      </c>
      <c r="L101" s="21">
        <f t="shared" si="13"/>
        <v>1118575.657124799</v>
      </c>
      <c r="O101" s="21"/>
    </row>
    <row r="102" spans="1:15" ht="16.5" customHeight="1" x14ac:dyDescent="0.2">
      <c r="A102" s="19" t="s">
        <v>341</v>
      </c>
      <c r="B102" s="19" t="s">
        <v>386</v>
      </c>
      <c r="C102" s="19" t="s">
        <v>331</v>
      </c>
      <c r="D102" s="19" t="s">
        <v>340</v>
      </c>
      <c r="E102" s="20">
        <v>342672</v>
      </c>
      <c r="F102" s="20">
        <v>5134051.4840000002</v>
      </c>
      <c r="G102" s="80">
        <f t="shared" si="10"/>
        <v>14.982407328290611</v>
      </c>
      <c r="H102" s="25">
        <v>4.0444310654151803</v>
      </c>
      <c r="I102">
        <v>7.0000000000000007E-2</v>
      </c>
      <c r="J102">
        <f t="shared" si="11"/>
        <v>23987.040000000001</v>
      </c>
      <c r="K102">
        <f t="shared" si="12"/>
        <v>359383.60388000007</v>
      </c>
      <c r="L102" s="21">
        <f t="shared" si="13"/>
        <v>1453502.2119331358</v>
      </c>
      <c r="O102" s="21"/>
    </row>
    <row r="103" spans="1:15" ht="16.5" customHeight="1" x14ac:dyDescent="0.2">
      <c r="A103" s="19" t="s">
        <v>346</v>
      </c>
      <c r="B103" s="19" t="s">
        <v>386</v>
      </c>
      <c r="C103" s="19" t="s">
        <v>331</v>
      </c>
      <c r="D103" s="19" t="s">
        <v>340</v>
      </c>
      <c r="E103" s="20">
        <v>275738</v>
      </c>
      <c r="F103" s="20">
        <v>4063201.5443000002</v>
      </c>
      <c r="G103" s="80">
        <f t="shared" si="10"/>
        <v>14.735732994001554</v>
      </c>
      <c r="H103" s="25">
        <v>4.4145241953729801</v>
      </c>
      <c r="I103">
        <v>7.0000000000000007E-2</v>
      </c>
      <c r="J103">
        <f t="shared" si="11"/>
        <v>19301.660000000003</v>
      </c>
      <c r="K103">
        <f t="shared" si="12"/>
        <v>284424.10810100002</v>
      </c>
      <c r="L103" s="21">
        <f t="shared" si="13"/>
        <v>1255597.1069592447</v>
      </c>
      <c r="O103" s="21"/>
    </row>
    <row r="104" spans="1:15" ht="16.5" customHeight="1" x14ac:dyDescent="0.2">
      <c r="A104" s="19" t="s">
        <v>347</v>
      </c>
      <c r="B104" s="19" t="s">
        <v>386</v>
      </c>
      <c r="C104" s="19" t="s">
        <v>331</v>
      </c>
      <c r="D104" s="19" t="s">
        <v>340</v>
      </c>
      <c r="E104" s="20">
        <v>247213</v>
      </c>
      <c r="F104" s="20">
        <v>3578904.7765000002</v>
      </c>
      <c r="G104" s="80">
        <f t="shared" si="10"/>
        <v>14.477008800103555</v>
      </c>
      <c r="H104" s="25">
        <v>4.9079757318918702</v>
      </c>
      <c r="I104">
        <v>7.0000000000000007E-2</v>
      </c>
      <c r="J104">
        <f t="shared" si="11"/>
        <v>17304.91</v>
      </c>
      <c r="K104">
        <f t="shared" si="12"/>
        <v>250523.33435500003</v>
      </c>
      <c r="L104" s="21">
        <f t="shared" si="13"/>
        <v>1229562.4452869729</v>
      </c>
      <c r="O104" s="21"/>
    </row>
    <row r="105" spans="1:15" ht="16.5" customHeight="1" x14ac:dyDescent="0.2">
      <c r="A105" s="19" t="s">
        <v>348</v>
      </c>
      <c r="B105" s="19" t="s">
        <v>386</v>
      </c>
      <c r="C105" s="19" t="s">
        <v>331</v>
      </c>
      <c r="D105" s="19" t="s">
        <v>340</v>
      </c>
      <c r="E105" s="20">
        <v>436936</v>
      </c>
      <c r="F105" s="20">
        <v>6010208.7914000005</v>
      </c>
      <c r="G105" s="80">
        <f t="shared" si="10"/>
        <v>13.755352709321274</v>
      </c>
      <c r="H105" s="25">
        <v>4.40776381733495</v>
      </c>
      <c r="I105">
        <v>7.0000000000000007E-2</v>
      </c>
      <c r="J105">
        <f t="shared" si="11"/>
        <v>30585.520000000004</v>
      </c>
      <c r="K105">
        <f t="shared" si="12"/>
        <v>420714.61539800005</v>
      </c>
      <c r="L105" s="21">
        <f t="shared" si="13"/>
        <v>1854410.659175294</v>
      </c>
      <c r="O105" s="21"/>
    </row>
    <row r="106" spans="1:15" ht="16.5" customHeight="1" x14ac:dyDescent="0.2">
      <c r="A106" s="19" t="s">
        <v>349</v>
      </c>
      <c r="B106" s="19" t="s">
        <v>386</v>
      </c>
      <c r="C106" s="19" t="s">
        <v>331</v>
      </c>
      <c r="D106" s="19" t="s">
        <v>340</v>
      </c>
      <c r="E106" s="20">
        <v>354496</v>
      </c>
      <c r="F106" s="20">
        <v>4821152.2655999996</v>
      </c>
      <c r="G106" s="80">
        <f t="shared" si="10"/>
        <v>13.600018803033038</v>
      </c>
      <c r="H106" s="25">
        <v>4.0736575710084004</v>
      </c>
      <c r="I106">
        <v>7.0000000000000007E-2</v>
      </c>
      <c r="J106">
        <f t="shared" si="11"/>
        <v>24814.720000000001</v>
      </c>
      <c r="K106">
        <f t="shared" si="12"/>
        <v>337480.65859200002</v>
      </c>
      <c r="L106" s="21">
        <f t="shared" si="13"/>
        <v>1374780.639942202</v>
      </c>
      <c r="O106" s="21"/>
    </row>
    <row r="107" spans="1:15" ht="16.5" customHeight="1" x14ac:dyDescent="0.2">
      <c r="A107" s="19" t="s">
        <v>350</v>
      </c>
      <c r="B107" s="19" t="s">
        <v>386</v>
      </c>
      <c r="C107" s="19" t="s">
        <v>331</v>
      </c>
      <c r="D107" s="19" t="s">
        <v>340</v>
      </c>
      <c r="E107" s="20">
        <v>312124</v>
      </c>
      <c r="F107" s="20">
        <v>4203564.5952000003</v>
      </c>
      <c r="G107" s="80">
        <f t="shared" si="10"/>
        <v>13.46761093411593</v>
      </c>
      <c r="H107" s="25">
        <v>5.7838450537993404</v>
      </c>
      <c r="I107">
        <v>7.0000000000000007E-2</v>
      </c>
      <c r="J107">
        <f t="shared" si="11"/>
        <v>21848.68</v>
      </c>
      <c r="K107">
        <f t="shared" si="12"/>
        <v>294249.52166400006</v>
      </c>
      <c r="L107" s="21">
        <f t="shared" si="13"/>
        <v>1701893.6404591487</v>
      </c>
      <c r="O107" s="21"/>
    </row>
    <row r="108" spans="1:15" ht="16.5" customHeight="1" x14ac:dyDescent="0.2">
      <c r="A108" s="19" t="s">
        <v>351</v>
      </c>
      <c r="B108" s="19" t="s">
        <v>386</v>
      </c>
      <c r="C108" s="19" t="s">
        <v>331</v>
      </c>
      <c r="D108" s="19" t="s">
        <v>340</v>
      </c>
      <c r="E108" s="20">
        <v>173427</v>
      </c>
      <c r="F108" s="20">
        <v>2232894.3849999998</v>
      </c>
      <c r="G108" s="80">
        <f t="shared" si="10"/>
        <v>12.875125470659123</v>
      </c>
      <c r="H108" s="25">
        <v>7.4876197292661599</v>
      </c>
      <c r="I108">
        <v>7.0000000000000007E-2</v>
      </c>
      <c r="J108">
        <f t="shared" si="11"/>
        <v>12139.890000000001</v>
      </c>
      <c r="K108">
        <f t="shared" si="12"/>
        <v>156302.60694999999</v>
      </c>
      <c r="L108" s="21">
        <f t="shared" si="13"/>
        <v>1170334.483534554</v>
      </c>
      <c r="O108" s="21"/>
    </row>
    <row r="109" spans="1:15" ht="16.5" customHeight="1" x14ac:dyDescent="0.2">
      <c r="A109" s="19" t="s">
        <v>352</v>
      </c>
      <c r="B109" s="19" t="s">
        <v>386</v>
      </c>
      <c r="C109" s="19" t="s">
        <v>331</v>
      </c>
      <c r="D109" s="19" t="s">
        <v>340</v>
      </c>
      <c r="E109" s="20">
        <v>164048</v>
      </c>
      <c r="F109" s="20">
        <v>2262431.3075000001</v>
      </c>
      <c r="G109" s="80">
        <f t="shared" si="10"/>
        <v>13.791276379474301</v>
      </c>
      <c r="H109" s="25">
        <v>7.3075786021172</v>
      </c>
      <c r="I109">
        <v>7.0000000000000007E-2</v>
      </c>
      <c r="J109">
        <f t="shared" si="11"/>
        <v>11483.36</v>
      </c>
      <c r="K109">
        <f t="shared" si="12"/>
        <v>158370.19152500003</v>
      </c>
      <c r="L109" s="21">
        <f t="shared" si="13"/>
        <v>1157302.6228012929</v>
      </c>
    </row>
    <row r="110" spans="1:15" ht="16.5" customHeight="1" x14ac:dyDescent="0.2">
      <c r="A110" s="19" t="s">
        <v>353</v>
      </c>
      <c r="B110" s="19" t="s">
        <v>386</v>
      </c>
      <c r="C110" s="19" t="s">
        <v>331</v>
      </c>
      <c r="D110" s="19" t="s">
        <v>340</v>
      </c>
      <c r="E110" s="20">
        <v>184447</v>
      </c>
      <c r="F110" s="20">
        <v>2462002.452</v>
      </c>
      <c r="G110" s="80">
        <f t="shared" si="10"/>
        <v>13.348021122598904</v>
      </c>
      <c r="H110" s="25">
        <v>5.14872294609411</v>
      </c>
      <c r="I110">
        <v>7.0000000000000007E-2</v>
      </c>
      <c r="J110">
        <f t="shared" si="11"/>
        <v>12911.29</v>
      </c>
      <c r="K110">
        <f t="shared" si="12"/>
        <v>172340.17164000002</v>
      </c>
      <c r="L110" s="21">
        <f t="shared" si="13"/>
        <v>887331.79625666549</v>
      </c>
    </row>
    <row r="111" spans="1:15" ht="16.5" customHeight="1" x14ac:dyDescent="0.2">
      <c r="A111" s="19" t="s">
        <v>354</v>
      </c>
      <c r="B111" s="19" t="s">
        <v>386</v>
      </c>
      <c r="C111" s="19" t="s">
        <v>331</v>
      </c>
      <c r="D111" s="19" t="s">
        <v>340</v>
      </c>
      <c r="E111" s="20">
        <v>209503</v>
      </c>
      <c r="F111" s="20">
        <v>2880044.2694000001</v>
      </c>
      <c r="G111" s="80">
        <f t="shared" si="10"/>
        <v>13.747031161367618</v>
      </c>
      <c r="H111" s="25">
        <v>5.2717599644251303</v>
      </c>
      <c r="I111">
        <v>7.0000000000000007E-2</v>
      </c>
      <c r="J111">
        <f t="shared" si="11"/>
        <v>14665.210000000001</v>
      </c>
      <c r="K111">
        <f t="shared" si="12"/>
        <v>201603.09885800001</v>
      </c>
      <c r="L111" s="21">
        <f t="shared" si="13"/>
        <v>1062803.1452636463</v>
      </c>
    </row>
    <row r="112" spans="1:15" ht="16.5" customHeight="1" x14ac:dyDescent="0.2">
      <c r="A112" s="19" t="s">
        <v>341</v>
      </c>
      <c r="B112" s="19" t="s">
        <v>386</v>
      </c>
      <c r="C112" s="19" t="s">
        <v>331</v>
      </c>
      <c r="D112" s="19" t="s">
        <v>342</v>
      </c>
      <c r="E112" s="20">
        <v>10729152</v>
      </c>
      <c r="F112" s="20">
        <v>82056422.493399993</v>
      </c>
      <c r="G112" s="80">
        <f t="shared" si="10"/>
        <v>7.6479876968282294</v>
      </c>
      <c r="H112" s="25">
        <v>0.93512207448688101</v>
      </c>
      <c r="I112">
        <v>0.17</v>
      </c>
      <c r="J112">
        <f t="shared" si="11"/>
        <v>1823955.84</v>
      </c>
      <c r="K112">
        <f t="shared" si="12"/>
        <v>13949591.823878</v>
      </c>
      <c r="L112" s="21">
        <f t="shared" si="13"/>
        <v>13044571.244590029</v>
      </c>
    </row>
    <row r="113" spans="1:12" ht="16.5" customHeight="1" x14ac:dyDescent="0.2">
      <c r="A113" s="19" t="s">
        <v>346</v>
      </c>
      <c r="B113" s="19" t="s">
        <v>386</v>
      </c>
      <c r="C113" s="19" t="s">
        <v>331</v>
      </c>
      <c r="D113" s="19" t="s">
        <v>342</v>
      </c>
      <c r="E113" s="20">
        <v>12369065</v>
      </c>
      <c r="F113" s="20">
        <v>112815596.87980001</v>
      </c>
      <c r="G113" s="80">
        <f t="shared" si="10"/>
        <v>9.1207861612660306</v>
      </c>
      <c r="H113" s="25">
        <v>0.86820868123058503</v>
      </c>
      <c r="I113">
        <v>0.17</v>
      </c>
      <c r="J113">
        <f t="shared" si="11"/>
        <v>2102741.0500000003</v>
      </c>
      <c r="K113">
        <f t="shared" si="12"/>
        <v>19178651.469566002</v>
      </c>
      <c r="L113" s="21">
        <f t="shared" si="13"/>
        <v>16651071.70017292</v>
      </c>
    </row>
    <row r="114" spans="1:12" ht="16.5" customHeight="1" x14ac:dyDescent="0.2">
      <c r="A114" s="19" t="s">
        <v>347</v>
      </c>
      <c r="B114" s="19" t="s">
        <v>386</v>
      </c>
      <c r="C114" s="19" t="s">
        <v>331</v>
      </c>
      <c r="D114" s="19" t="s">
        <v>342</v>
      </c>
      <c r="E114" s="20">
        <v>12570521.5</v>
      </c>
      <c r="F114" s="20">
        <v>98215525.815599993</v>
      </c>
      <c r="G114" s="80">
        <f t="shared" si="10"/>
        <v>7.8131623907249983</v>
      </c>
      <c r="H114" s="25">
        <v>0.59875720404191402</v>
      </c>
      <c r="I114">
        <v>0.17</v>
      </c>
      <c r="J114">
        <f t="shared" si="11"/>
        <v>2136988.6550000003</v>
      </c>
      <c r="K114">
        <f t="shared" si="12"/>
        <v>16696639.388652001</v>
      </c>
      <c r="L114" s="21">
        <f t="shared" si="13"/>
        <v>9997233.1172453649</v>
      </c>
    </row>
    <row r="115" spans="1:12" ht="16.5" customHeight="1" x14ac:dyDescent="0.2">
      <c r="A115" s="19" t="s">
        <v>348</v>
      </c>
      <c r="B115" s="19" t="s">
        <v>386</v>
      </c>
      <c r="C115" s="19" t="s">
        <v>331</v>
      </c>
      <c r="D115" s="19" t="s">
        <v>342</v>
      </c>
      <c r="E115" s="20">
        <v>6678435.7999999998</v>
      </c>
      <c r="F115" s="20">
        <v>60738294.9815</v>
      </c>
      <c r="G115" s="80">
        <f t="shared" si="10"/>
        <v>9.0946887565348771</v>
      </c>
      <c r="H115" s="25">
        <v>0.74412791486411201</v>
      </c>
      <c r="I115">
        <v>0.17</v>
      </c>
      <c r="J115">
        <f t="shared" si="11"/>
        <v>1135334.0860000001</v>
      </c>
      <c r="K115">
        <f t="shared" si="12"/>
        <v>10325510.146855</v>
      </c>
      <c r="L115" s="21">
        <f t="shared" si="13"/>
        <v>7683500.3354874421</v>
      </c>
    </row>
    <row r="116" spans="1:12" ht="16.5" customHeight="1" x14ac:dyDescent="0.2">
      <c r="A116" s="19" t="s">
        <v>349</v>
      </c>
      <c r="B116" s="19" t="s">
        <v>386</v>
      </c>
      <c r="C116" s="19" t="s">
        <v>331</v>
      </c>
      <c r="D116" s="19" t="s">
        <v>342</v>
      </c>
      <c r="E116" s="20">
        <v>11626457</v>
      </c>
      <c r="F116" s="20">
        <v>95305565.954500005</v>
      </c>
      <c r="G116" s="80">
        <f t="shared" si="10"/>
        <v>8.1973008591095304</v>
      </c>
      <c r="H116" s="25">
        <v>0.59413708890412498</v>
      </c>
      <c r="I116">
        <v>0.17</v>
      </c>
      <c r="J116">
        <f t="shared" si="11"/>
        <v>1976497.6900000002</v>
      </c>
      <c r="K116">
        <f t="shared" si="12"/>
        <v>16201946.212265002</v>
      </c>
      <c r="L116" s="21">
        <f t="shared" si="13"/>
        <v>9626177.1571363416</v>
      </c>
    </row>
    <row r="117" spans="1:12" ht="16.5" customHeight="1" x14ac:dyDescent="0.2">
      <c r="A117" s="19" t="s">
        <v>350</v>
      </c>
      <c r="B117" s="19" t="s">
        <v>386</v>
      </c>
      <c r="C117" s="19" t="s">
        <v>331</v>
      </c>
      <c r="D117" s="19" t="s">
        <v>342</v>
      </c>
      <c r="E117" s="20">
        <v>9115620</v>
      </c>
      <c r="F117" s="20">
        <v>73424433.314899996</v>
      </c>
      <c r="G117" s="80">
        <f t="shared" si="10"/>
        <v>8.0547931259640038</v>
      </c>
      <c r="H117" s="25">
        <v>0.69703602131772402</v>
      </c>
      <c r="I117">
        <v>0.17</v>
      </c>
      <c r="J117">
        <f t="shared" si="11"/>
        <v>1549655.4000000001</v>
      </c>
      <c r="K117">
        <f t="shared" si="12"/>
        <v>12482153.663533</v>
      </c>
      <c r="L117" s="21">
        <f t="shared" si="13"/>
        <v>8700510.7271054946</v>
      </c>
    </row>
    <row r="118" spans="1:12" ht="16.5" customHeight="1" x14ac:dyDescent="0.2">
      <c r="A118" s="19" t="s">
        <v>351</v>
      </c>
      <c r="B118" s="19" t="s">
        <v>386</v>
      </c>
      <c r="C118" s="19" t="s">
        <v>331</v>
      </c>
      <c r="D118" s="19" t="s">
        <v>342</v>
      </c>
      <c r="E118" s="20">
        <v>11426914</v>
      </c>
      <c r="F118" s="20">
        <v>95443819.660699993</v>
      </c>
      <c r="G118" s="80">
        <f t="shared" si="10"/>
        <v>8.3525455482293811</v>
      </c>
      <c r="H118" s="25">
        <v>0.87931065706002398</v>
      </c>
      <c r="I118">
        <v>0.17</v>
      </c>
      <c r="J118">
        <f t="shared" si="11"/>
        <v>1942575.3800000001</v>
      </c>
      <c r="K118">
        <f t="shared" si="12"/>
        <v>16225449.342319001</v>
      </c>
      <c r="L118" s="21">
        <f t="shared" si="13"/>
        <v>14267210.522288654</v>
      </c>
    </row>
    <row r="119" spans="1:12" ht="16.5" customHeight="1" x14ac:dyDescent="0.2">
      <c r="A119" s="19" t="s">
        <v>352</v>
      </c>
      <c r="B119" s="19" t="s">
        <v>386</v>
      </c>
      <c r="C119" s="19" t="s">
        <v>331</v>
      </c>
      <c r="D119" s="19" t="s">
        <v>342</v>
      </c>
      <c r="E119" s="20">
        <v>11482406</v>
      </c>
      <c r="F119" s="20">
        <v>96668837.715499997</v>
      </c>
      <c r="G119" s="80">
        <f t="shared" si="10"/>
        <v>8.4188660212415414</v>
      </c>
      <c r="H119" s="25">
        <v>1.0302958487449201</v>
      </c>
      <c r="I119">
        <v>0.17</v>
      </c>
      <c r="J119">
        <f t="shared" si="11"/>
        <v>1952009.0200000003</v>
      </c>
      <c r="K119">
        <f t="shared" si="12"/>
        <v>16433702.411635</v>
      </c>
      <c r="L119" s="21">
        <f t="shared" si="13"/>
        <v>16931575.374216922</v>
      </c>
    </row>
    <row r="120" spans="1:12" ht="16.5" customHeight="1" x14ac:dyDescent="0.2">
      <c r="A120" s="19" t="s">
        <v>353</v>
      </c>
      <c r="B120" s="19" t="s">
        <v>386</v>
      </c>
      <c r="C120" s="19" t="s">
        <v>331</v>
      </c>
      <c r="D120" s="19" t="s">
        <v>342</v>
      </c>
      <c r="E120" s="20">
        <v>9374706</v>
      </c>
      <c r="F120" s="20">
        <v>74662109.917999998</v>
      </c>
      <c r="G120" s="80">
        <f t="shared" si="10"/>
        <v>7.9642081488208802</v>
      </c>
      <c r="H120" s="25">
        <v>0.59155243002080304</v>
      </c>
      <c r="I120">
        <v>0.17</v>
      </c>
      <c r="J120">
        <f t="shared" si="11"/>
        <v>1593700.02</v>
      </c>
      <c r="K120">
        <f t="shared" si="12"/>
        <v>12692558.68606</v>
      </c>
      <c r="L120" s="21">
        <f t="shared" si="13"/>
        <v>7508313.933920444</v>
      </c>
    </row>
    <row r="121" spans="1:12" ht="16.5" customHeight="1" x14ac:dyDescent="0.2">
      <c r="A121" s="19" t="s">
        <v>354</v>
      </c>
      <c r="B121" s="19" t="s">
        <v>386</v>
      </c>
      <c r="C121" s="19" t="s">
        <v>331</v>
      </c>
      <c r="D121" s="19" t="s">
        <v>342</v>
      </c>
      <c r="E121" s="20">
        <v>4676449</v>
      </c>
      <c r="F121" s="20">
        <v>34978968.268700004</v>
      </c>
      <c r="G121" s="80">
        <f t="shared" si="10"/>
        <v>7.4798139076679773</v>
      </c>
      <c r="H121" s="25">
        <v>0.522334227560873</v>
      </c>
      <c r="I121">
        <v>0.17</v>
      </c>
      <c r="J121">
        <f t="shared" si="11"/>
        <v>794996.33000000007</v>
      </c>
      <c r="K121">
        <f t="shared" si="12"/>
        <v>5946424.6056790007</v>
      </c>
      <c r="L121" s="21">
        <f t="shared" si="13"/>
        <v>3106021.1031563096</v>
      </c>
    </row>
    <row r="122" spans="1:12" ht="16.5" customHeight="1" x14ac:dyDescent="0.2">
      <c r="A122" s="19" t="s">
        <v>341</v>
      </c>
      <c r="B122" s="19" t="s">
        <v>386</v>
      </c>
      <c r="C122" s="19" t="s">
        <v>331</v>
      </c>
      <c r="D122" s="19" t="s">
        <v>343</v>
      </c>
      <c r="E122" s="20">
        <v>2304408</v>
      </c>
      <c r="F122" s="20">
        <v>14567462.6131</v>
      </c>
      <c r="G122" s="80">
        <f t="shared" si="10"/>
        <v>6.3215639822028047</v>
      </c>
      <c r="H122" s="25">
        <v>1.3046650793531001</v>
      </c>
      <c r="I122">
        <v>0.69</v>
      </c>
      <c r="J122">
        <f t="shared" si="11"/>
        <v>1590041.5199999998</v>
      </c>
      <c r="K122">
        <f t="shared" si="12"/>
        <v>10051549.203039</v>
      </c>
      <c r="L122" s="21">
        <f t="shared" si="13"/>
        <v>13113905.238604465</v>
      </c>
    </row>
    <row r="123" spans="1:12" ht="16.5" customHeight="1" x14ac:dyDescent="0.2">
      <c r="A123" s="19" t="s">
        <v>346</v>
      </c>
      <c r="B123" s="19" t="s">
        <v>386</v>
      </c>
      <c r="C123" s="19" t="s">
        <v>331</v>
      </c>
      <c r="D123" s="19" t="s">
        <v>343</v>
      </c>
      <c r="E123" s="20">
        <v>2083871</v>
      </c>
      <c r="F123" s="20">
        <v>14101885.5693</v>
      </c>
      <c r="G123" s="80">
        <f t="shared" si="10"/>
        <v>6.7671586049712289</v>
      </c>
      <c r="H123" s="25">
        <v>1.4344018438631401</v>
      </c>
      <c r="I123">
        <v>0.69</v>
      </c>
      <c r="J123">
        <f t="shared" si="11"/>
        <v>1437870.99</v>
      </c>
      <c r="K123">
        <f t="shared" si="12"/>
        <v>9730301.0428169984</v>
      </c>
      <c r="L123" s="21">
        <f t="shared" si="13"/>
        <v>13957161.757160136</v>
      </c>
    </row>
    <row r="124" spans="1:12" ht="16.5" customHeight="1" x14ac:dyDescent="0.2">
      <c r="A124" s="19" t="s">
        <v>347</v>
      </c>
      <c r="B124" s="19" t="s">
        <v>386</v>
      </c>
      <c r="C124" s="19" t="s">
        <v>331</v>
      </c>
      <c r="D124" s="19" t="s">
        <v>343</v>
      </c>
      <c r="E124" s="20">
        <v>3873514</v>
      </c>
      <c r="F124" s="20">
        <v>25117928.4848</v>
      </c>
      <c r="G124" s="80">
        <f t="shared" si="10"/>
        <v>6.484532774323263</v>
      </c>
      <c r="H124" s="25">
        <v>1.475064768005</v>
      </c>
      <c r="I124">
        <v>0.69</v>
      </c>
      <c r="J124">
        <f t="shared" si="11"/>
        <v>2672724.6599999997</v>
      </c>
      <c r="K124">
        <f t="shared" si="12"/>
        <v>17331370.654511999</v>
      </c>
      <c r="L124" s="21">
        <f t="shared" si="13"/>
        <v>25564894.233706407</v>
      </c>
    </row>
    <row r="125" spans="1:12" ht="16.5" customHeight="1" x14ac:dyDescent="0.2">
      <c r="A125" s="19" t="s">
        <v>348</v>
      </c>
      <c r="B125" s="19" t="s">
        <v>386</v>
      </c>
      <c r="C125" s="19" t="s">
        <v>331</v>
      </c>
      <c r="D125" s="19" t="s">
        <v>343</v>
      </c>
      <c r="E125" s="20">
        <v>3789405</v>
      </c>
      <c r="F125" s="20">
        <v>28280543.669</v>
      </c>
      <c r="G125" s="80">
        <f t="shared" si="10"/>
        <v>7.4630565138854248</v>
      </c>
      <c r="H125" s="25">
        <v>1.3665475396548099</v>
      </c>
      <c r="I125">
        <v>0.69</v>
      </c>
      <c r="J125">
        <f t="shared" si="11"/>
        <v>2614689.4499999997</v>
      </c>
      <c r="K125">
        <f t="shared" si="12"/>
        <v>19513575.131609999</v>
      </c>
      <c r="L125" s="21">
        <f t="shared" si="13"/>
        <v>26666228.085970927</v>
      </c>
    </row>
    <row r="126" spans="1:12" ht="16.5" customHeight="1" x14ac:dyDescent="0.2">
      <c r="A126" s="19" t="s">
        <v>349</v>
      </c>
      <c r="B126" s="19" t="s">
        <v>386</v>
      </c>
      <c r="C126" s="19" t="s">
        <v>331</v>
      </c>
      <c r="D126" s="19" t="s">
        <v>343</v>
      </c>
      <c r="E126" s="20">
        <v>2158670</v>
      </c>
      <c r="F126" s="20">
        <v>15030282.0394</v>
      </c>
      <c r="G126" s="80">
        <f t="shared" si="10"/>
        <v>6.9627511566844404</v>
      </c>
      <c r="H126" s="25">
        <v>0.90541887763179696</v>
      </c>
      <c r="I126">
        <v>0.69</v>
      </c>
      <c r="J126">
        <f t="shared" si="11"/>
        <v>1489482.2999999998</v>
      </c>
      <c r="K126">
        <f t="shared" si="12"/>
        <v>10370894.607185999</v>
      </c>
      <c r="L126" s="21">
        <f t="shared" si="13"/>
        <v>9390003.7552760039</v>
      </c>
    </row>
    <row r="127" spans="1:12" ht="16.5" customHeight="1" x14ac:dyDescent="0.2">
      <c r="A127" s="19" t="s">
        <v>350</v>
      </c>
      <c r="B127" s="19" t="s">
        <v>386</v>
      </c>
      <c r="C127" s="19" t="s">
        <v>331</v>
      </c>
      <c r="D127" s="19" t="s">
        <v>343</v>
      </c>
      <c r="E127" s="20">
        <v>2327503</v>
      </c>
      <c r="F127" s="20">
        <v>17091906.1461</v>
      </c>
      <c r="G127" s="80">
        <f t="shared" si="10"/>
        <v>7.3434518220169851</v>
      </c>
      <c r="H127" s="25">
        <v>1.32301155866864</v>
      </c>
      <c r="I127">
        <v>0.69</v>
      </c>
      <c r="J127">
        <f t="shared" si="11"/>
        <v>1605977.0699999998</v>
      </c>
      <c r="K127">
        <f t="shared" si="12"/>
        <v>11793415.240808999</v>
      </c>
      <c r="L127" s="21">
        <f t="shared" si="13"/>
        <v>15602824.679769209</v>
      </c>
    </row>
    <row r="128" spans="1:12" ht="16.5" customHeight="1" x14ac:dyDescent="0.2">
      <c r="A128" s="19" t="s">
        <v>351</v>
      </c>
      <c r="B128" s="19" t="s">
        <v>386</v>
      </c>
      <c r="C128" s="19" t="s">
        <v>331</v>
      </c>
      <c r="D128" s="19" t="s">
        <v>343</v>
      </c>
      <c r="E128" s="20">
        <v>2873620</v>
      </c>
      <c r="F128" s="20">
        <v>17715571.562899999</v>
      </c>
      <c r="G128" s="80">
        <f t="shared" si="10"/>
        <v>6.1648970855227896</v>
      </c>
      <c r="H128" s="25">
        <v>1.5576168680200799</v>
      </c>
      <c r="I128">
        <v>0.69</v>
      </c>
      <c r="J128">
        <f t="shared" si="11"/>
        <v>1982797.7999999998</v>
      </c>
      <c r="K128">
        <f t="shared" si="12"/>
        <v>12223744.378400998</v>
      </c>
      <c r="L128" s="21">
        <f t="shared" si="13"/>
        <v>19039910.434163023</v>
      </c>
    </row>
    <row r="129" spans="1:12" ht="16.5" customHeight="1" x14ac:dyDescent="0.2">
      <c r="A129" s="19" t="s">
        <v>352</v>
      </c>
      <c r="B129" s="19" t="s">
        <v>386</v>
      </c>
      <c r="C129" s="19" t="s">
        <v>331</v>
      </c>
      <c r="D129" s="19" t="s">
        <v>343</v>
      </c>
      <c r="E129" s="20">
        <v>1602466</v>
      </c>
      <c r="F129" s="20">
        <v>12790127.4691</v>
      </c>
      <c r="G129" s="80">
        <f t="shared" si="10"/>
        <v>7.9815281379448928</v>
      </c>
      <c r="H129" s="25">
        <v>1.7414673570827</v>
      </c>
      <c r="I129">
        <v>0.69</v>
      </c>
      <c r="J129">
        <f t="shared" si="11"/>
        <v>1105701.5399999998</v>
      </c>
      <c r="K129">
        <f t="shared" si="12"/>
        <v>8825187.9536789991</v>
      </c>
      <c r="L129" s="21">
        <f t="shared" si="13"/>
        <v>15368776.741451448</v>
      </c>
    </row>
    <row r="130" spans="1:12" ht="16.5" customHeight="1" x14ac:dyDescent="0.2">
      <c r="A130" s="19" t="s">
        <v>353</v>
      </c>
      <c r="B130" s="19" t="s">
        <v>386</v>
      </c>
      <c r="C130" s="19" t="s">
        <v>331</v>
      </c>
      <c r="D130" s="19" t="s">
        <v>343</v>
      </c>
      <c r="E130" s="20">
        <v>1712692</v>
      </c>
      <c r="F130" s="20">
        <v>12521430.346799999</v>
      </c>
      <c r="G130" s="80">
        <f t="shared" si="10"/>
        <v>7.3109644622617491</v>
      </c>
      <c r="H130" s="25">
        <v>1.4947043820260599</v>
      </c>
      <c r="I130">
        <v>0.69</v>
      </c>
      <c r="J130">
        <f t="shared" ref="J130:J151" si="14">E130*I130</f>
        <v>1181757.48</v>
      </c>
      <c r="K130">
        <f t="shared" ref="K130:K151" si="15">F130*I130</f>
        <v>8639786.9392919987</v>
      </c>
      <c r="L130" s="21">
        <f t="shared" ref="L130:L151" si="16">K130*H130</f>
        <v>12913927.39793127</v>
      </c>
    </row>
    <row r="131" spans="1:12" ht="16.5" customHeight="1" x14ac:dyDescent="0.2">
      <c r="A131" s="19" t="s">
        <v>354</v>
      </c>
      <c r="B131" s="19" t="s">
        <v>386</v>
      </c>
      <c r="C131" s="19" t="s">
        <v>331</v>
      </c>
      <c r="D131" s="19" t="s">
        <v>343</v>
      </c>
      <c r="E131" s="20">
        <v>1159279</v>
      </c>
      <c r="F131" s="20">
        <v>7961636.6580999997</v>
      </c>
      <c r="G131" s="80">
        <f t="shared" ref="G131:G151" si="17">F131/E131</f>
        <v>6.867748538617537</v>
      </c>
      <c r="H131" s="25">
        <v>1.7059682439539501</v>
      </c>
      <c r="I131">
        <v>0.69</v>
      </c>
      <c r="J131">
        <f t="shared" si="14"/>
        <v>799902.50999999989</v>
      </c>
      <c r="K131">
        <f t="shared" si="15"/>
        <v>5493529.2940889997</v>
      </c>
      <c r="L131" s="21">
        <f t="shared" si="16"/>
        <v>9371786.5229465943</v>
      </c>
    </row>
    <row r="132" spans="1:12" ht="16.5" customHeight="1" x14ac:dyDescent="0.2">
      <c r="A132" s="19" t="s">
        <v>341</v>
      </c>
      <c r="B132" s="19" t="s">
        <v>386</v>
      </c>
      <c r="C132" s="19" t="s">
        <v>331</v>
      </c>
      <c r="D132" s="19" t="s">
        <v>344</v>
      </c>
      <c r="E132" s="20">
        <v>59079411</v>
      </c>
      <c r="F132" s="20">
        <v>219187889.64340001</v>
      </c>
      <c r="G132" s="80">
        <f t="shared" si="17"/>
        <v>3.7100554310434819</v>
      </c>
      <c r="H132" s="25">
        <v>0.46670090082636001</v>
      </c>
      <c r="I132">
        <v>0.98</v>
      </c>
      <c r="J132">
        <f t="shared" si="14"/>
        <v>57897822.780000001</v>
      </c>
      <c r="K132">
        <f t="shared" si="15"/>
        <v>214804131.850532</v>
      </c>
      <c r="L132" s="21">
        <f t="shared" si="16"/>
        <v>100249281.83586749</v>
      </c>
    </row>
    <row r="133" spans="1:12" ht="16.5" customHeight="1" x14ac:dyDescent="0.2">
      <c r="A133" s="19" t="s">
        <v>346</v>
      </c>
      <c r="B133" s="19" t="s">
        <v>386</v>
      </c>
      <c r="C133" s="19" t="s">
        <v>331</v>
      </c>
      <c r="D133" s="19" t="s">
        <v>344</v>
      </c>
      <c r="E133" s="20">
        <v>21302122</v>
      </c>
      <c r="F133" s="20">
        <v>76150042.148800001</v>
      </c>
      <c r="G133" s="80">
        <f t="shared" si="17"/>
        <v>3.57476321602139</v>
      </c>
      <c r="H133" s="25">
        <v>0.48118781421650098</v>
      </c>
      <c r="I133">
        <v>0.98</v>
      </c>
      <c r="J133">
        <f t="shared" si="14"/>
        <v>20876079.559999999</v>
      </c>
      <c r="K133">
        <f t="shared" si="15"/>
        <v>74627041.305823997</v>
      </c>
      <c r="L133" s="21">
        <f t="shared" si="16"/>
        <v>35909622.887393981</v>
      </c>
    </row>
    <row r="134" spans="1:12" ht="16.5" customHeight="1" x14ac:dyDescent="0.2">
      <c r="A134" s="19" t="s">
        <v>347</v>
      </c>
      <c r="B134" s="19" t="s">
        <v>386</v>
      </c>
      <c r="C134" s="19" t="s">
        <v>331</v>
      </c>
      <c r="D134" s="19" t="s">
        <v>344</v>
      </c>
      <c r="E134" s="20">
        <v>94779875</v>
      </c>
      <c r="F134" s="20">
        <v>304977147.74809998</v>
      </c>
      <c r="G134" s="80">
        <f t="shared" si="17"/>
        <v>3.2177416117936426</v>
      </c>
      <c r="H134" s="25">
        <v>0.43132877408307402</v>
      </c>
      <c r="I134">
        <v>0.98</v>
      </c>
      <c r="J134">
        <f t="shared" si="14"/>
        <v>92884277.5</v>
      </c>
      <c r="K134">
        <f t="shared" si="15"/>
        <v>298877604.79313797</v>
      </c>
      <c r="L134" s="21">
        <f t="shared" si="16"/>
        <v>128914510.87630969</v>
      </c>
    </row>
    <row r="135" spans="1:12" ht="16.5" customHeight="1" x14ac:dyDescent="0.2">
      <c r="A135" s="19" t="s">
        <v>348</v>
      </c>
      <c r="B135" s="19" t="s">
        <v>386</v>
      </c>
      <c r="C135" s="19" t="s">
        <v>331</v>
      </c>
      <c r="D135" s="19" t="s">
        <v>344</v>
      </c>
      <c r="E135" s="20">
        <v>37186408.700000003</v>
      </c>
      <c r="F135" s="20">
        <v>131434182.6065</v>
      </c>
      <c r="G135" s="80">
        <f t="shared" si="17"/>
        <v>3.5344682963832423</v>
      </c>
      <c r="H135" s="25">
        <v>0.29451638314058798</v>
      </c>
      <c r="I135">
        <v>0.98</v>
      </c>
      <c r="J135">
        <f t="shared" si="14"/>
        <v>36442680.526000001</v>
      </c>
      <c r="K135">
        <f t="shared" si="15"/>
        <v>128805498.95436999</v>
      </c>
      <c r="L135" s="21">
        <f t="shared" si="16"/>
        <v>37935329.680659838</v>
      </c>
    </row>
    <row r="136" spans="1:12" ht="16.5" customHeight="1" x14ac:dyDescent="0.2">
      <c r="A136" s="19" t="s">
        <v>349</v>
      </c>
      <c r="B136" s="19" t="s">
        <v>386</v>
      </c>
      <c r="C136" s="19" t="s">
        <v>331</v>
      </c>
      <c r="D136" s="19" t="s">
        <v>344</v>
      </c>
      <c r="E136" s="20">
        <v>35151092</v>
      </c>
      <c r="F136" s="20">
        <v>128041037.2156</v>
      </c>
      <c r="G136" s="80">
        <f t="shared" si="17"/>
        <v>3.6425905976292285</v>
      </c>
      <c r="H136" s="25">
        <v>0.22246087484538199</v>
      </c>
      <c r="I136">
        <v>0.98</v>
      </c>
      <c r="J136">
        <f t="shared" si="14"/>
        <v>34448070.159999996</v>
      </c>
      <c r="K136">
        <f t="shared" si="15"/>
        <v>125480216.471288</v>
      </c>
      <c r="L136" s="21">
        <f t="shared" si="16"/>
        <v>27914438.731990639</v>
      </c>
    </row>
    <row r="137" spans="1:12" ht="16.5" customHeight="1" x14ac:dyDescent="0.2">
      <c r="A137" s="19" t="s">
        <v>350</v>
      </c>
      <c r="B137" s="19" t="s">
        <v>386</v>
      </c>
      <c r="C137" s="19" t="s">
        <v>331</v>
      </c>
      <c r="D137" s="19" t="s">
        <v>344</v>
      </c>
      <c r="E137" s="20">
        <v>18385506</v>
      </c>
      <c r="F137" s="20">
        <v>72636869.965900004</v>
      </c>
      <c r="G137" s="80">
        <f t="shared" si="17"/>
        <v>3.9507680651215149</v>
      </c>
      <c r="H137" s="25">
        <v>0.32702532382043298</v>
      </c>
      <c r="I137">
        <v>0.98</v>
      </c>
      <c r="J137">
        <f t="shared" si="14"/>
        <v>18017795.879999999</v>
      </c>
      <c r="K137">
        <f t="shared" si="15"/>
        <v>71184132.566582009</v>
      </c>
      <c r="L137" s="21">
        <f t="shared" si="16"/>
        <v>23279014.003463112</v>
      </c>
    </row>
    <row r="138" spans="1:12" ht="16.5" customHeight="1" x14ac:dyDescent="0.2">
      <c r="A138" s="19" t="s">
        <v>351</v>
      </c>
      <c r="B138" s="19" t="s">
        <v>386</v>
      </c>
      <c r="C138" s="19" t="s">
        <v>331</v>
      </c>
      <c r="D138" s="19" t="s">
        <v>344</v>
      </c>
      <c r="E138" s="20">
        <v>34801951</v>
      </c>
      <c r="F138" s="20">
        <v>128042103.1168</v>
      </c>
      <c r="G138" s="80">
        <f t="shared" si="17"/>
        <v>3.6791645134147792</v>
      </c>
      <c r="H138" s="25">
        <v>0.41698235399218198</v>
      </c>
      <c r="I138">
        <v>0.98</v>
      </c>
      <c r="J138">
        <f t="shared" si="14"/>
        <v>34105911.979999997</v>
      </c>
      <c r="K138">
        <f t="shared" si="15"/>
        <v>125481261.054464</v>
      </c>
      <c r="L138" s="21">
        <f t="shared" si="16"/>
        <v>52323471.616397902</v>
      </c>
    </row>
    <row r="139" spans="1:12" ht="16.5" customHeight="1" x14ac:dyDescent="0.2">
      <c r="A139" s="19" t="s">
        <v>352</v>
      </c>
      <c r="B139" s="19" t="s">
        <v>386</v>
      </c>
      <c r="C139" s="19" t="s">
        <v>331</v>
      </c>
      <c r="D139" s="19" t="s">
        <v>344</v>
      </c>
      <c r="E139" s="20">
        <v>8082745</v>
      </c>
      <c r="F139" s="20">
        <v>31280263.6567</v>
      </c>
      <c r="G139" s="80">
        <f t="shared" si="17"/>
        <v>3.870005011502899</v>
      </c>
      <c r="H139" s="25">
        <v>0.46841881027503501</v>
      </c>
      <c r="I139">
        <v>0.98</v>
      </c>
      <c r="J139">
        <f t="shared" si="14"/>
        <v>7921090.0999999996</v>
      </c>
      <c r="K139">
        <f t="shared" si="15"/>
        <v>30654658.383566</v>
      </c>
      <c r="L139" s="21">
        <f t="shared" si="16"/>
        <v>14359218.609417614</v>
      </c>
    </row>
    <row r="140" spans="1:12" ht="16.5" customHeight="1" x14ac:dyDescent="0.2">
      <c r="A140" s="19" t="s">
        <v>353</v>
      </c>
      <c r="B140" s="19" t="s">
        <v>386</v>
      </c>
      <c r="C140" s="19" t="s">
        <v>331</v>
      </c>
      <c r="D140" s="19" t="s">
        <v>344</v>
      </c>
      <c r="E140" s="20">
        <v>21149905</v>
      </c>
      <c r="F140" s="20">
        <v>78026222.923099995</v>
      </c>
      <c r="G140" s="80">
        <f t="shared" si="17"/>
        <v>3.6891996878047442</v>
      </c>
      <c r="H140" s="25">
        <v>0.33498621337543999</v>
      </c>
      <c r="I140">
        <v>0.98</v>
      </c>
      <c r="J140">
        <f t="shared" si="14"/>
        <v>20726906.899999999</v>
      </c>
      <c r="K140">
        <f t="shared" si="15"/>
        <v>76465698.464637995</v>
      </c>
      <c r="L140" s="21">
        <f t="shared" si="16"/>
        <v>25614954.781777278</v>
      </c>
    </row>
    <row r="141" spans="1:12" ht="16.5" customHeight="1" x14ac:dyDescent="0.2">
      <c r="A141" s="19" t="s">
        <v>354</v>
      </c>
      <c r="B141" s="19" t="s">
        <v>386</v>
      </c>
      <c r="C141" s="19" t="s">
        <v>331</v>
      </c>
      <c r="D141" s="19" t="s">
        <v>344</v>
      </c>
      <c r="E141" s="20">
        <v>8058812</v>
      </c>
      <c r="F141" s="20">
        <v>28362474.936999999</v>
      </c>
      <c r="G141" s="80">
        <f t="shared" si="17"/>
        <v>3.5194362316678935</v>
      </c>
      <c r="H141" s="25">
        <v>0.33300941696090602</v>
      </c>
      <c r="I141">
        <v>0.98</v>
      </c>
      <c r="J141">
        <f t="shared" si="14"/>
        <v>7897635.7599999998</v>
      </c>
      <c r="K141">
        <f t="shared" si="15"/>
        <v>27795225.43826</v>
      </c>
      <c r="L141" s="21">
        <f t="shared" si="16"/>
        <v>9256071.8174919058</v>
      </c>
    </row>
    <row r="142" spans="1:12" ht="16.5" customHeight="1" x14ac:dyDescent="0.2">
      <c r="A142" s="19" t="s">
        <v>341</v>
      </c>
      <c r="B142" s="19" t="s">
        <v>386</v>
      </c>
      <c r="C142" s="19" t="s">
        <v>331</v>
      </c>
      <c r="D142" s="19" t="s">
        <v>345</v>
      </c>
      <c r="E142" s="20">
        <v>1235374</v>
      </c>
      <c r="F142" s="20">
        <v>7519472.2565000001</v>
      </c>
      <c r="G142" s="80">
        <f t="shared" si="17"/>
        <v>6.0867982137393213</v>
      </c>
      <c r="H142" s="26">
        <v>1.6158269822293201</v>
      </c>
      <c r="I142">
        <v>0.28999999999999998</v>
      </c>
      <c r="J142">
        <f t="shared" si="14"/>
        <v>358258.45999999996</v>
      </c>
      <c r="K142">
        <f t="shared" si="15"/>
        <v>2180646.9543849998</v>
      </c>
      <c r="L142" s="21">
        <f t="shared" si="16"/>
        <v>3523548.1876114719</v>
      </c>
    </row>
    <row r="143" spans="1:12" ht="16.5" customHeight="1" x14ac:dyDescent="0.2">
      <c r="A143" s="19" t="s">
        <v>346</v>
      </c>
      <c r="B143" s="19" t="s">
        <v>386</v>
      </c>
      <c r="C143" s="19" t="s">
        <v>331</v>
      </c>
      <c r="D143" s="19" t="s">
        <v>345</v>
      </c>
      <c r="E143" s="20">
        <v>944142.6</v>
      </c>
      <c r="F143" s="20">
        <v>5928805.7192000002</v>
      </c>
      <c r="G143" s="80">
        <f t="shared" si="17"/>
        <v>6.2795659460763664</v>
      </c>
      <c r="H143" s="26">
        <v>1.3113121807903301</v>
      </c>
      <c r="I143">
        <v>0.28999999999999998</v>
      </c>
      <c r="J143">
        <f t="shared" si="14"/>
        <v>273801.35399999999</v>
      </c>
      <c r="K143">
        <f t="shared" si="15"/>
        <v>1719353.658568</v>
      </c>
      <c r="L143" s="21">
        <f t="shared" si="16"/>
        <v>2254609.3955666367</v>
      </c>
    </row>
    <row r="144" spans="1:12" ht="16.5" customHeight="1" x14ac:dyDescent="0.2">
      <c r="A144" s="19" t="s">
        <v>347</v>
      </c>
      <c r="B144" s="19" t="s">
        <v>386</v>
      </c>
      <c r="C144" s="19" t="s">
        <v>331</v>
      </c>
      <c r="D144" s="19" t="s">
        <v>345</v>
      </c>
      <c r="E144" s="20">
        <v>970397</v>
      </c>
      <c r="F144" s="20">
        <v>5869230.7194999997</v>
      </c>
      <c r="G144" s="80">
        <f t="shared" si="17"/>
        <v>6.0482778898739378</v>
      </c>
      <c r="H144" s="26">
        <v>1.74064405942684</v>
      </c>
      <c r="I144">
        <v>0.28999999999999998</v>
      </c>
      <c r="J144">
        <f t="shared" si="14"/>
        <v>281415.13</v>
      </c>
      <c r="K144">
        <f t="shared" si="15"/>
        <v>1702076.9086549997</v>
      </c>
      <c r="L144" s="21">
        <f t="shared" si="16"/>
        <v>2962710.0597379254</v>
      </c>
    </row>
    <row r="145" spans="1:12" ht="16.5" customHeight="1" x14ac:dyDescent="0.2">
      <c r="A145" s="19" t="s">
        <v>348</v>
      </c>
      <c r="B145" s="19" t="s">
        <v>386</v>
      </c>
      <c r="C145" s="19" t="s">
        <v>331</v>
      </c>
      <c r="D145" s="19" t="s">
        <v>345</v>
      </c>
      <c r="E145" s="20">
        <v>1663861</v>
      </c>
      <c r="F145" s="20">
        <v>9742558.3233000003</v>
      </c>
      <c r="G145" s="80">
        <f t="shared" si="17"/>
        <v>5.8553919608068226</v>
      </c>
      <c r="H145" s="26">
        <v>1.6917159714222301</v>
      </c>
      <c r="I145">
        <v>0.28999999999999998</v>
      </c>
      <c r="J145">
        <f t="shared" si="14"/>
        <v>482519.68999999994</v>
      </c>
      <c r="K145">
        <f t="shared" si="15"/>
        <v>2825341.9137570001</v>
      </c>
      <c r="L145" s="21">
        <f t="shared" si="16"/>
        <v>4779676.0402313657</v>
      </c>
    </row>
    <row r="146" spans="1:12" ht="16.5" customHeight="1" x14ac:dyDescent="0.2">
      <c r="A146" s="19" t="s">
        <v>349</v>
      </c>
      <c r="B146" s="19" t="s">
        <v>386</v>
      </c>
      <c r="C146" s="19" t="s">
        <v>331</v>
      </c>
      <c r="D146" s="19" t="s">
        <v>345</v>
      </c>
      <c r="E146" s="20">
        <v>1523912</v>
      </c>
      <c r="F146" s="20">
        <v>8467832.0885000005</v>
      </c>
      <c r="G146" s="80">
        <f t="shared" si="17"/>
        <v>5.5566411239625388</v>
      </c>
      <c r="H146" s="26">
        <v>1.1437345131390499</v>
      </c>
      <c r="I146">
        <v>0.28999999999999998</v>
      </c>
      <c r="J146">
        <f t="shared" si="14"/>
        <v>441934.48</v>
      </c>
      <c r="K146">
        <f t="shared" si="15"/>
        <v>2455671.3056649999</v>
      </c>
      <c r="L146" s="21">
        <f t="shared" si="16"/>
        <v>2808636.0252142935</v>
      </c>
    </row>
    <row r="147" spans="1:12" ht="16.5" customHeight="1" x14ac:dyDescent="0.2">
      <c r="A147" s="19" t="s">
        <v>350</v>
      </c>
      <c r="B147" s="19" t="s">
        <v>386</v>
      </c>
      <c r="C147" s="19" t="s">
        <v>331</v>
      </c>
      <c r="D147" s="19" t="s">
        <v>345</v>
      </c>
      <c r="E147" s="20">
        <v>1500683</v>
      </c>
      <c r="F147" s="20">
        <v>8524952.0404000003</v>
      </c>
      <c r="G147" s="80">
        <f t="shared" si="17"/>
        <v>5.6807147414877095</v>
      </c>
      <c r="H147" s="26">
        <v>1.3143256668985399</v>
      </c>
      <c r="I147">
        <v>0.28999999999999998</v>
      </c>
      <c r="J147">
        <f t="shared" si="14"/>
        <v>435198.06999999995</v>
      </c>
      <c r="K147">
        <f t="shared" si="15"/>
        <v>2472236.0917159999</v>
      </c>
      <c r="L147" s="21">
        <f t="shared" si="16"/>
        <v>3249323.3499752716</v>
      </c>
    </row>
    <row r="148" spans="1:12" ht="16.5" customHeight="1" x14ac:dyDescent="0.2">
      <c r="A148" s="19" t="s">
        <v>351</v>
      </c>
      <c r="B148" s="19" t="s">
        <v>386</v>
      </c>
      <c r="C148" s="19" t="s">
        <v>331</v>
      </c>
      <c r="D148" s="19" t="s">
        <v>345</v>
      </c>
      <c r="E148" s="20">
        <v>796607</v>
      </c>
      <c r="F148" s="20">
        <v>4496960.2482000003</v>
      </c>
      <c r="G148" s="80">
        <f t="shared" si="17"/>
        <v>5.645142772031881</v>
      </c>
      <c r="H148" s="26">
        <v>1.7168602436552201</v>
      </c>
      <c r="I148">
        <v>0.28999999999999998</v>
      </c>
      <c r="J148">
        <f t="shared" si="14"/>
        <v>231016.02999999997</v>
      </c>
      <c r="K148">
        <f t="shared" si="15"/>
        <v>1304118.4719779999</v>
      </c>
      <c r="L148" s="21">
        <f t="shared" si="16"/>
        <v>2238989.1575554223</v>
      </c>
    </row>
    <row r="149" spans="1:12" ht="16.5" customHeight="1" x14ac:dyDescent="0.2">
      <c r="A149" s="19" t="s">
        <v>352</v>
      </c>
      <c r="B149" s="19" t="s">
        <v>386</v>
      </c>
      <c r="C149" s="19" t="s">
        <v>331</v>
      </c>
      <c r="D149" s="19" t="s">
        <v>345</v>
      </c>
      <c r="E149" s="20">
        <v>631675</v>
      </c>
      <c r="F149" s="20">
        <v>3388430.6072999998</v>
      </c>
      <c r="G149" s="80">
        <f t="shared" si="17"/>
        <v>5.3641993229113067</v>
      </c>
      <c r="H149" s="26">
        <v>1.8949241715327001</v>
      </c>
      <c r="I149">
        <v>0.28999999999999998</v>
      </c>
      <c r="J149">
        <f t="shared" si="14"/>
        <v>183185.75</v>
      </c>
      <c r="K149">
        <f t="shared" si="15"/>
        <v>982644.87611699989</v>
      </c>
      <c r="L149" s="21">
        <f t="shared" si="16"/>
        <v>1862037.5277868588</v>
      </c>
    </row>
    <row r="150" spans="1:12" ht="16.5" customHeight="1" x14ac:dyDescent="0.2">
      <c r="A150" s="19" t="s">
        <v>353</v>
      </c>
      <c r="B150" s="19" t="s">
        <v>386</v>
      </c>
      <c r="C150" s="19" t="s">
        <v>331</v>
      </c>
      <c r="D150" s="19" t="s">
        <v>345</v>
      </c>
      <c r="E150" s="20">
        <v>1005692</v>
      </c>
      <c r="F150" s="20">
        <v>5621492.5110999998</v>
      </c>
      <c r="G150" s="80">
        <f t="shared" si="17"/>
        <v>5.5896760748817726</v>
      </c>
      <c r="H150" s="26">
        <v>1.8980369785512901</v>
      </c>
      <c r="I150">
        <v>0.28999999999999998</v>
      </c>
      <c r="J150">
        <f t="shared" si="14"/>
        <v>291650.68</v>
      </c>
      <c r="K150">
        <f t="shared" si="15"/>
        <v>1630232.8282189998</v>
      </c>
      <c r="L150" s="21">
        <f t="shared" si="16"/>
        <v>3094242.1916079144</v>
      </c>
    </row>
    <row r="151" spans="1:12" ht="16.5" customHeight="1" x14ac:dyDescent="0.2">
      <c r="A151" s="19" t="s">
        <v>354</v>
      </c>
      <c r="B151" s="19" t="s">
        <v>386</v>
      </c>
      <c r="C151" s="19" t="s">
        <v>331</v>
      </c>
      <c r="D151" s="19" t="s">
        <v>345</v>
      </c>
      <c r="E151" s="20">
        <v>453021</v>
      </c>
      <c r="F151" s="20">
        <v>2342837.5060999999</v>
      </c>
      <c r="G151" s="80">
        <f t="shared" si="17"/>
        <v>5.1715869818396936</v>
      </c>
      <c r="H151" s="26">
        <v>1.6497336845602399</v>
      </c>
      <c r="I151">
        <v>0.28999999999999998</v>
      </c>
      <c r="J151">
        <f t="shared" si="14"/>
        <v>131376.09</v>
      </c>
      <c r="K151">
        <f t="shared" si="15"/>
        <v>679422.87676899997</v>
      </c>
      <c r="L151" s="21">
        <f t="shared" si="16"/>
        <v>1120866.8058666401</v>
      </c>
    </row>
  </sheetData>
  <sortState xmlns:xlrd2="http://schemas.microsoft.com/office/spreadsheetml/2017/richdata2" ref="A2:L198">
    <sortCondition ref="B2:B198"/>
    <sortCondition ref="D2:D19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2654-16CC-E344-AAC7-E539C6C17FB9}">
  <dimension ref="A1:B11"/>
  <sheetViews>
    <sheetView workbookViewId="0">
      <selection activeCell="F31" sqref="F31"/>
    </sheetView>
  </sheetViews>
  <sheetFormatPr baseColWidth="10" defaultRowHeight="15" x14ac:dyDescent="0.2"/>
  <sheetData>
    <row r="1" spans="1:2" x14ac:dyDescent="0.2">
      <c r="A1" t="s">
        <v>0</v>
      </c>
      <c r="B1" t="s">
        <v>398</v>
      </c>
    </row>
    <row r="2" spans="1:2" x14ac:dyDescent="0.2">
      <c r="A2" s="7" t="s">
        <v>341</v>
      </c>
      <c r="B2">
        <v>1.44</v>
      </c>
    </row>
    <row r="3" spans="1:2" x14ac:dyDescent="0.2">
      <c r="A3" s="7" t="s">
        <v>346</v>
      </c>
      <c r="B3">
        <v>1.4</v>
      </c>
    </row>
    <row r="4" spans="1:2" x14ac:dyDescent="0.2">
      <c r="A4" s="7" t="s">
        <v>347</v>
      </c>
      <c r="B4">
        <v>1.38</v>
      </c>
    </row>
    <row r="5" spans="1:2" x14ac:dyDescent="0.2">
      <c r="A5" s="7" t="s">
        <v>348</v>
      </c>
      <c r="B5">
        <v>1.36</v>
      </c>
    </row>
    <row r="6" spans="1:2" x14ac:dyDescent="0.2">
      <c r="A6" s="7" t="s">
        <v>349</v>
      </c>
      <c r="B6">
        <v>1.36</v>
      </c>
    </row>
    <row r="7" spans="1:2" x14ac:dyDescent="0.2">
      <c r="A7" s="7" t="s">
        <v>350</v>
      </c>
      <c r="B7">
        <v>1.34</v>
      </c>
    </row>
    <row r="8" spans="1:2" x14ac:dyDescent="0.2">
      <c r="A8" s="7" t="s">
        <v>351</v>
      </c>
      <c r="B8">
        <v>1.31</v>
      </c>
    </row>
    <row r="9" spans="1:2" x14ac:dyDescent="0.2">
      <c r="A9" s="7" t="s">
        <v>352</v>
      </c>
      <c r="B9">
        <v>1.28</v>
      </c>
    </row>
    <row r="10" spans="1:2" x14ac:dyDescent="0.2">
      <c r="A10" s="7" t="s">
        <v>353</v>
      </c>
      <c r="B10">
        <v>1.26</v>
      </c>
    </row>
    <row r="11" spans="1:2" x14ac:dyDescent="0.2">
      <c r="A11" s="7" t="s">
        <v>354</v>
      </c>
      <c r="B11">
        <v>1.23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6E6A-74D3-4A68-BE5B-9FA17214426D}">
  <dimension ref="A1:X103"/>
  <sheetViews>
    <sheetView topLeftCell="H1" zoomScale="130" zoomScaleNormal="130" workbookViewId="0">
      <selection activeCell="J1" sqref="J1"/>
    </sheetView>
  </sheetViews>
  <sheetFormatPr baseColWidth="10" defaultColWidth="8.83203125" defaultRowHeight="15" x14ac:dyDescent="0.2"/>
  <cols>
    <col min="1" max="1" width="8.6640625" bestFit="1" customWidth="1"/>
    <col min="2" max="2" width="15.5" bestFit="1" customWidth="1"/>
    <col min="3" max="3" width="5" bestFit="1" customWidth="1"/>
    <col min="4" max="4" width="33.5" bestFit="1" customWidth="1"/>
    <col min="5" max="5" width="25.5" bestFit="1" customWidth="1"/>
    <col min="6" max="6" width="25.5" customWidth="1"/>
    <col min="7" max="7" width="16.83203125" bestFit="1" customWidth="1"/>
    <col min="8" max="12" width="16.83203125" style="6" customWidth="1"/>
    <col min="13" max="13" width="24.33203125" style="6" bestFit="1" customWidth="1"/>
    <col min="14" max="14" width="16.83203125" bestFit="1" customWidth="1"/>
    <col min="15" max="15" width="13.6640625" bestFit="1" customWidth="1"/>
    <col min="16" max="16" width="13.1640625" bestFit="1" customWidth="1"/>
    <col min="17" max="17" width="19.33203125" bestFit="1" customWidth="1"/>
    <col min="18" max="18" width="15.83203125" bestFit="1" customWidth="1"/>
    <col min="19" max="19" width="7.33203125" bestFit="1" customWidth="1"/>
    <col min="20" max="20" width="11.33203125" bestFit="1" customWidth="1"/>
    <col min="21" max="21" width="21" bestFit="1" customWidth="1"/>
    <col min="22" max="22" width="6.1640625" customWidth="1"/>
    <col min="23" max="23" width="13.5" bestFit="1" customWidth="1"/>
    <col min="24" max="24" width="24.33203125" bestFit="1" customWidth="1"/>
    <col min="25" max="25" width="21" bestFit="1" customWidth="1"/>
    <col min="26" max="26" width="31.5" bestFit="1" customWidth="1"/>
    <col min="27" max="27" width="26.1640625" bestFit="1" customWidth="1"/>
  </cols>
  <sheetData>
    <row r="1" spans="1:24" x14ac:dyDescent="0.2">
      <c r="A1" s="1" t="s">
        <v>175</v>
      </c>
      <c r="B1" s="1" t="s">
        <v>337</v>
      </c>
      <c r="C1" s="1" t="s">
        <v>0</v>
      </c>
      <c r="D1" s="1" t="s">
        <v>338</v>
      </c>
      <c r="E1" s="1" t="s">
        <v>339</v>
      </c>
      <c r="F1" s="1" t="s">
        <v>467</v>
      </c>
      <c r="G1" s="1" t="s">
        <v>355</v>
      </c>
      <c r="H1" s="5" t="s">
        <v>356</v>
      </c>
      <c r="I1" s="5" t="s">
        <v>457</v>
      </c>
      <c r="J1" s="5" t="s">
        <v>393</v>
      </c>
      <c r="K1" s="5" t="s">
        <v>394</v>
      </c>
      <c r="L1" s="5"/>
      <c r="M1" s="129" t="s">
        <v>370</v>
      </c>
      <c r="N1" s="131"/>
      <c r="P1" s="132" t="s">
        <v>380</v>
      </c>
      <c r="Q1" s="134"/>
      <c r="R1" s="133"/>
      <c r="T1" s="132" t="s">
        <v>379</v>
      </c>
      <c r="U1" s="133"/>
      <c r="W1" s="129" t="s">
        <v>397</v>
      </c>
      <c r="X1" s="131"/>
    </row>
    <row r="2" spans="1:24" x14ac:dyDescent="0.2">
      <c r="A2" t="s">
        <v>330</v>
      </c>
      <c r="B2" t="s">
        <v>340</v>
      </c>
      <c r="C2" t="s">
        <v>341</v>
      </c>
      <c r="D2">
        <v>30222</v>
      </c>
      <c r="E2">
        <v>620626.83900000004</v>
      </c>
      <c r="F2">
        <f>E2/D2</f>
        <v>20.535597875719677</v>
      </c>
      <c r="G2">
        <v>0.52</v>
      </c>
      <c r="H2" s="6">
        <f>D2*G2</f>
        <v>15715.44</v>
      </c>
      <c r="I2" s="6">
        <f>E2*G2</f>
        <v>322725.95628000004</v>
      </c>
      <c r="J2" s="6">
        <v>0.55000000000000004</v>
      </c>
      <c r="K2" s="6">
        <f>(I2*J2)/(6/16)</f>
        <v>473331.40254400013</v>
      </c>
      <c r="M2" s="10" t="s">
        <v>371</v>
      </c>
      <c r="N2" s="11">
        <f>SUM(D2:D101)</f>
        <v>1040454550.58</v>
      </c>
      <c r="P2" s="30" t="s">
        <v>357</v>
      </c>
      <c r="Q2" s="35" t="s">
        <v>359</v>
      </c>
      <c r="R2" s="16" t="s">
        <v>366</v>
      </c>
      <c r="T2" s="30" t="s">
        <v>357</v>
      </c>
      <c r="U2" s="35" t="s">
        <v>359</v>
      </c>
      <c r="W2" s="30" t="s">
        <v>357</v>
      </c>
      <c r="X2" s="35" t="s">
        <v>395</v>
      </c>
    </row>
    <row r="3" spans="1:24" x14ac:dyDescent="0.2">
      <c r="A3" t="s">
        <v>330</v>
      </c>
      <c r="B3" t="s">
        <v>340</v>
      </c>
      <c r="C3" t="s">
        <v>346</v>
      </c>
      <c r="D3">
        <v>14764</v>
      </c>
      <c r="E3">
        <v>303180.76919999998</v>
      </c>
      <c r="F3">
        <f t="shared" ref="F3:F66" si="0">E3/D3</f>
        <v>20.535137442427526</v>
      </c>
      <c r="G3">
        <f t="array" ref="G3:G11">G2</f>
        <v>0.52</v>
      </c>
      <c r="H3" s="6">
        <f t="shared" ref="H3:H66" si="1">D3*G3</f>
        <v>7677.2800000000007</v>
      </c>
      <c r="I3" s="6">
        <f t="shared" ref="I3:I66" si="2">E3*G3</f>
        <v>157653.99998399999</v>
      </c>
      <c r="J3" s="6">
        <v>0.55000000000000004</v>
      </c>
      <c r="K3" s="6">
        <f>(I3*J3)/(6/16)</f>
        <v>231225.86664320002</v>
      </c>
      <c r="M3" s="10" t="s">
        <v>372</v>
      </c>
      <c r="N3" s="11">
        <f>SUM(H2:H101)</f>
        <v>447186943.84939998</v>
      </c>
      <c r="P3" s="31" t="s">
        <v>340</v>
      </c>
      <c r="Q3" s="27">
        <v>293803.56000000006</v>
      </c>
      <c r="R3" s="11">
        <f>GETPIVOTDATA("# Forest Fish",$P$2,"Species Name","Chinook Salmon")/GETPIVOTDATA("# Forest Fish",$P$2)*100</f>
        <v>6.5700388627389084E-2</v>
      </c>
      <c r="T3" s="31" t="s">
        <v>341</v>
      </c>
      <c r="U3" s="45">
        <v>68008572.719999999</v>
      </c>
      <c r="W3" s="31" t="s">
        <v>341</v>
      </c>
      <c r="X3" s="27">
        <v>374052179.18921441</v>
      </c>
    </row>
    <row r="4" spans="1:24" x14ac:dyDescent="0.2">
      <c r="A4" t="s">
        <v>330</v>
      </c>
      <c r="B4" t="s">
        <v>340</v>
      </c>
      <c r="C4" t="s">
        <v>347</v>
      </c>
      <c r="D4">
        <v>15669</v>
      </c>
      <c r="E4">
        <v>260837.62469999999</v>
      </c>
      <c r="F4">
        <f t="shared" si="0"/>
        <v>16.646730786904076</v>
      </c>
      <c r="G4">
        <v>0.52</v>
      </c>
      <c r="H4" s="6">
        <f t="shared" si="1"/>
        <v>8147.88</v>
      </c>
      <c r="I4" s="6">
        <f t="shared" si="2"/>
        <v>135635.56484400001</v>
      </c>
      <c r="J4" s="6">
        <v>0.55000000000000004</v>
      </c>
      <c r="K4" s="6">
        <f t="shared" ref="K4:K67" si="3">(I4*J4)/(6/16)</f>
        <v>198932.16177120002</v>
      </c>
      <c r="M4" s="14" t="s">
        <v>373</v>
      </c>
      <c r="N4" s="15">
        <f>N3/N2*100</f>
        <v>42.979959441776309</v>
      </c>
      <c r="P4" s="32" t="s">
        <v>342</v>
      </c>
      <c r="Q4" s="28">
        <v>19852624.349399999</v>
      </c>
      <c r="R4" s="11">
        <f>GETPIVOTDATA("# Forest Fish",$P$2,"Species Name","Chum Salmon")/GETPIVOTDATA("# Forest Fish",$P$2)*100</f>
        <v>4.439446326072928</v>
      </c>
      <c r="T4" s="32" t="s">
        <v>346</v>
      </c>
      <c r="U4" s="46">
        <v>30007941.833999995</v>
      </c>
      <c r="W4" s="32" t="s">
        <v>346</v>
      </c>
      <c r="X4" s="28">
        <v>187473301.1540865</v>
      </c>
    </row>
    <row r="5" spans="1:24" x14ac:dyDescent="0.2">
      <c r="A5" t="s">
        <v>330</v>
      </c>
      <c r="B5" t="s">
        <v>340</v>
      </c>
      <c r="C5" t="s">
        <v>348</v>
      </c>
      <c r="D5">
        <v>15531</v>
      </c>
      <c r="E5">
        <v>267525.01459999999</v>
      </c>
      <c r="F5">
        <f t="shared" si="0"/>
        <v>17.225227905479365</v>
      </c>
      <c r="G5">
        <v>0.52</v>
      </c>
      <c r="H5" s="6">
        <f t="shared" si="1"/>
        <v>8076.12</v>
      </c>
      <c r="I5" s="6">
        <f t="shared" si="2"/>
        <v>139113.00759200001</v>
      </c>
      <c r="J5" s="6">
        <v>0.55000000000000004</v>
      </c>
      <c r="K5" s="6">
        <f t="shared" si="3"/>
        <v>204032.41113493335</v>
      </c>
      <c r="P5" s="32" t="s">
        <v>343</v>
      </c>
      <c r="Q5" s="28">
        <v>20489777.960000001</v>
      </c>
      <c r="R5" s="11">
        <f>GETPIVOTDATA("# Forest Fish",$P$2,"Species Name","Coho Salmon")/GETPIVOTDATA("# Forest Fish",$P$2)*100</f>
        <v>4.5819266957177485</v>
      </c>
      <c r="T5" s="32" t="s">
        <v>347</v>
      </c>
      <c r="U5" s="46">
        <v>112778396.5334</v>
      </c>
      <c r="W5" s="32" t="s">
        <v>347</v>
      </c>
      <c r="X5" s="28">
        <v>537446818.41860831</v>
      </c>
    </row>
    <row r="6" spans="1:24" x14ac:dyDescent="0.2">
      <c r="A6" t="s">
        <v>330</v>
      </c>
      <c r="B6" t="s">
        <v>340</v>
      </c>
      <c r="C6" t="s">
        <v>349</v>
      </c>
      <c r="D6">
        <v>34194</v>
      </c>
      <c r="E6">
        <v>589024.3517</v>
      </c>
      <c r="F6">
        <f t="shared" si="0"/>
        <v>17.225956357840555</v>
      </c>
      <c r="G6">
        <v>0.52</v>
      </c>
      <c r="H6" s="6">
        <f t="shared" si="1"/>
        <v>17780.88</v>
      </c>
      <c r="I6" s="6">
        <f t="shared" si="2"/>
        <v>306292.66288399999</v>
      </c>
      <c r="J6" s="6">
        <v>0.55000000000000004</v>
      </c>
      <c r="K6" s="6">
        <f t="shared" si="3"/>
        <v>449229.23889653338</v>
      </c>
      <c r="M6" s="129" t="s">
        <v>378</v>
      </c>
      <c r="N6" s="131"/>
      <c r="P6" s="32" t="s">
        <v>344</v>
      </c>
      <c r="Q6" s="28">
        <v>397370561.68599999</v>
      </c>
      <c r="R6" s="11">
        <f>GETPIVOTDATA("# Forest Fish",$P$2,"Species Name","Pink Salmon")/GETPIVOTDATA("# Forest Fish",$P$2)*100</f>
        <v>88.860054424984099</v>
      </c>
      <c r="T6" s="32" t="s">
        <v>348</v>
      </c>
      <c r="U6" s="46">
        <v>48420060.711999997</v>
      </c>
      <c r="W6" s="32" t="s">
        <v>348</v>
      </c>
      <c r="X6" s="28">
        <v>272600340.12516308</v>
      </c>
    </row>
    <row r="7" spans="1:24" x14ac:dyDescent="0.2">
      <c r="A7" t="s">
        <v>330</v>
      </c>
      <c r="B7" t="s">
        <v>340</v>
      </c>
      <c r="C7" t="s">
        <v>350</v>
      </c>
      <c r="D7">
        <v>23192</v>
      </c>
      <c r="E7">
        <v>420544.5172</v>
      </c>
      <c r="F7">
        <f t="shared" si="0"/>
        <v>18.13317166264229</v>
      </c>
      <c r="G7">
        <v>0.52</v>
      </c>
      <c r="H7" s="6">
        <f t="shared" si="1"/>
        <v>12059.84</v>
      </c>
      <c r="I7" s="6">
        <f t="shared" si="2"/>
        <v>218683.14894400002</v>
      </c>
      <c r="J7" s="6">
        <v>0.55000000000000004</v>
      </c>
      <c r="K7" s="6">
        <f t="shared" si="3"/>
        <v>320735.2851178667</v>
      </c>
      <c r="M7" s="10" t="s">
        <v>0</v>
      </c>
      <c r="N7" s="11" t="s">
        <v>377</v>
      </c>
      <c r="P7" s="33" t="s">
        <v>345</v>
      </c>
      <c r="Q7" s="28">
        <v>9180176.2939999998</v>
      </c>
      <c r="R7" s="11">
        <f>GETPIVOTDATA("# Forest Fish",$P$2,"Species Name","Sockeye Salmon")/GETPIVOTDATA("# Forest Fish",$P$2)*100</f>
        <v>2.0528721645978165</v>
      </c>
      <c r="T7" s="32" t="s">
        <v>349</v>
      </c>
      <c r="U7" s="46">
        <v>54173017.689999998</v>
      </c>
      <c r="W7" s="32" t="s">
        <v>349</v>
      </c>
      <c r="X7" s="28">
        <v>298180207.45236802</v>
      </c>
    </row>
    <row r="8" spans="1:24" x14ac:dyDescent="0.2">
      <c r="A8" t="s">
        <v>330</v>
      </c>
      <c r="B8" t="s">
        <v>340</v>
      </c>
      <c r="C8" t="s">
        <v>351</v>
      </c>
      <c r="D8">
        <v>22400</v>
      </c>
      <c r="E8">
        <v>471913.77830000001</v>
      </c>
      <c r="F8">
        <f t="shared" si="0"/>
        <v>21.067579388392858</v>
      </c>
      <c r="G8">
        <v>0.52</v>
      </c>
      <c r="H8" s="6">
        <f t="shared" si="1"/>
        <v>11648</v>
      </c>
      <c r="I8" s="6">
        <f t="shared" si="2"/>
        <v>245395.164716</v>
      </c>
      <c r="J8" s="6">
        <v>0.55000000000000004</v>
      </c>
      <c r="K8" s="6">
        <f t="shared" si="3"/>
        <v>359912.90825013333</v>
      </c>
      <c r="M8" s="12">
        <v>2020</v>
      </c>
      <c r="N8" s="13">
        <v>116812649</v>
      </c>
      <c r="P8" s="34" t="s">
        <v>358</v>
      </c>
      <c r="Q8" s="36">
        <v>447186943.84940004</v>
      </c>
      <c r="R8" s="17">
        <f>SUM(R3:R7)</f>
        <v>99.999999999999986</v>
      </c>
      <c r="T8" s="32" t="s">
        <v>350</v>
      </c>
      <c r="U8" s="46">
        <v>24772014.02</v>
      </c>
      <c r="W8" s="32" t="s">
        <v>350</v>
      </c>
      <c r="X8" s="28">
        <v>163919394.38988462</v>
      </c>
    </row>
    <row r="9" spans="1:24" x14ac:dyDescent="0.2">
      <c r="A9" t="s">
        <v>330</v>
      </c>
      <c r="B9" t="s">
        <v>340</v>
      </c>
      <c r="C9" t="s">
        <v>352</v>
      </c>
      <c r="D9">
        <v>11937</v>
      </c>
      <c r="E9">
        <v>185792.48480000001</v>
      </c>
      <c r="F9">
        <f t="shared" si="0"/>
        <v>15.564420273100444</v>
      </c>
      <c r="G9">
        <v>0.52</v>
      </c>
      <c r="H9" s="6">
        <f t="shared" si="1"/>
        <v>6207.24</v>
      </c>
      <c r="I9" s="6">
        <f t="shared" si="2"/>
        <v>96612.092096000008</v>
      </c>
      <c r="J9" s="6">
        <v>0.55000000000000004</v>
      </c>
      <c r="K9" s="6">
        <f t="shared" si="3"/>
        <v>141697.73507413335</v>
      </c>
      <c r="M9" s="12">
        <v>2019</v>
      </c>
      <c r="N9" s="13">
        <v>204359949</v>
      </c>
      <c r="T9" s="32" t="s">
        <v>351</v>
      </c>
      <c r="U9" s="46">
        <v>46848003.759999998</v>
      </c>
      <c r="W9" s="32" t="s">
        <v>351</v>
      </c>
      <c r="X9" s="28">
        <v>274373979.96875072</v>
      </c>
    </row>
    <row r="10" spans="1:24" x14ac:dyDescent="0.2">
      <c r="A10" t="s">
        <v>330</v>
      </c>
      <c r="B10" t="s">
        <v>340</v>
      </c>
      <c r="C10" t="s">
        <v>353</v>
      </c>
      <c r="D10">
        <v>23367</v>
      </c>
      <c r="E10">
        <v>427114.33500000002</v>
      </c>
      <c r="F10">
        <f t="shared" si="0"/>
        <v>18.278526768519708</v>
      </c>
      <c r="G10">
        <v>0.52</v>
      </c>
      <c r="H10" s="6">
        <f t="shared" si="1"/>
        <v>12150.84</v>
      </c>
      <c r="I10" s="6">
        <f t="shared" si="2"/>
        <v>222099.45420000001</v>
      </c>
      <c r="J10" s="6">
        <v>0.55000000000000004</v>
      </c>
      <c r="K10" s="6">
        <f t="shared" si="3"/>
        <v>325745.86616000003</v>
      </c>
      <c r="M10" s="12">
        <v>2018</v>
      </c>
      <c r="N10" s="13">
        <v>113824027</v>
      </c>
      <c r="T10" s="32" t="s">
        <v>352</v>
      </c>
      <c r="U10" s="46">
        <v>15863084.050000001</v>
      </c>
      <c r="W10" s="32" t="s">
        <v>352</v>
      </c>
      <c r="X10" s="28">
        <v>114781082.9201156</v>
      </c>
    </row>
    <row r="11" spans="1:24" x14ac:dyDescent="0.2">
      <c r="A11" t="s">
        <v>330</v>
      </c>
      <c r="B11" t="s">
        <v>340</v>
      </c>
      <c r="C11" t="s">
        <v>354</v>
      </c>
      <c r="D11">
        <v>10188</v>
      </c>
      <c r="E11">
        <v>134246.19209999999</v>
      </c>
      <c r="F11">
        <f t="shared" si="0"/>
        <v>13.176893610129563</v>
      </c>
      <c r="G11">
        <v>0.52</v>
      </c>
      <c r="H11" s="6">
        <f t="shared" si="1"/>
        <v>5297.76</v>
      </c>
      <c r="I11" s="6">
        <f t="shared" si="2"/>
        <v>69808.019891999997</v>
      </c>
      <c r="J11" s="6">
        <v>0.55000000000000004</v>
      </c>
      <c r="K11" s="6">
        <f t="shared" si="3"/>
        <v>102385.09584159999</v>
      </c>
      <c r="M11" s="12">
        <v>2017</v>
      </c>
      <c r="N11" s="13">
        <v>222838278</v>
      </c>
      <c r="T11" s="32" t="s">
        <v>353</v>
      </c>
      <c r="U11" s="46">
        <v>32386229.75</v>
      </c>
      <c r="W11" s="32" t="s">
        <v>353</v>
      </c>
      <c r="X11" s="28">
        <v>190009165.7260623</v>
      </c>
    </row>
    <row r="12" spans="1:24" x14ac:dyDescent="0.2">
      <c r="A12" t="s">
        <v>330</v>
      </c>
      <c r="B12" t="s">
        <v>342</v>
      </c>
      <c r="C12" t="s">
        <v>341</v>
      </c>
      <c r="D12">
        <v>2075061</v>
      </c>
      <c r="E12">
        <v>15242709.586100001</v>
      </c>
      <c r="F12">
        <f t="shared" si="0"/>
        <v>7.3456681929350518</v>
      </c>
      <c r="G12">
        <v>0.08</v>
      </c>
      <c r="H12" s="6">
        <f t="shared" si="1"/>
        <v>166004.88</v>
      </c>
      <c r="I12" s="6">
        <f t="shared" si="2"/>
        <v>1219416.7668880001</v>
      </c>
      <c r="J12" s="6">
        <v>0.6</v>
      </c>
      <c r="K12" s="6">
        <f t="shared" si="3"/>
        <v>1951066.8270208</v>
      </c>
      <c r="M12" s="12">
        <v>2016</v>
      </c>
      <c r="N12" s="13">
        <v>111236964</v>
      </c>
      <c r="T12" s="32" t="s">
        <v>354</v>
      </c>
      <c r="U12" s="46">
        <v>13929622.779999999</v>
      </c>
      <c r="W12" s="32" t="s">
        <v>354</v>
      </c>
      <c r="X12" s="28">
        <v>82524070.603209481</v>
      </c>
    </row>
    <row r="13" spans="1:24" x14ac:dyDescent="0.2">
      <c r="A13" t="s">
        <v>330</v>
      </c>
      <c r="B13" t="s">
        <v>342</v>
      </c>
      <c r="C13" t="s">
        <v>346</v>
      </c>
      <c r="D13">
        <v>4143735</v>
      </c>
      <c r="E13">
        <v>29831634.3816</v>
      </c>
      <c r="F13">
        <f t="shared" si="0"/>
        <v>7.1992138449007959</v>
      </c>
      <c r="G13">
        <v>0.08</v>
      </c>
      <c r="H13" s="6">
        <f t="shared" si="1"/>
        <v>331498.8</v>
      </c>
      <c r="I13" s="6">
        <f t="shared" si="2"/>
        <v>2386530.7505279998</v>
      </c>
      <c r="J13" s="6">
        <v>0.6</v>
      </c>
      <c r="K13" s="6">
        <f t="shared" si="3"/>
        <v>3818449.2008447996</v>
      </c>
      <c r="M13" s="12">
        <v>2015</v>
      </c>
      <c r="N13" s="13">
        <v>265118099</v>
      </c>
      <c r="P13" s="129" t="s">
        <v>381</v>
      </c>
      <c r="Q13" s="130"/>
      <c r="R13" s="131"/>
      <c r="T13" s="33" t="s">
        <v>332</v>
      </c>
      <c r="U13" s="28"/>
      <c r="W13" s="33" t="s">
        <v>332</v>
      </c>
      <c r="X13" s="29"/>
    </row>
    <row r="14" spans="1:24" x14ac:dyDescent="0.2">
      <c r="A14" t="s">
        <v>330</v>
      </c>
      <c r="B14" t="s">
        <v>342</v>
      </c>
      <c r="C14" t="s">
        <v>347</v>
      </c>
      <c r="D14">
        <v>4264104.9800000004</v>
      </c>
      <c r="E14">
        <v>31773036.720199998</v>
      </c>
      <c r="F14">
        <f t="shared" si="0"/>
        <v>7.4512791943973191</v>
      </c>
      <c r="G14">
        <v>0.08</v>
      </c>
      <c r="H14" s="6">
        <f t="shared" si="1"/>
        <v>341128.39840000006</v>
      </c>
      <c r="I14" s="6">
        <f t="shared" si="2"/>
        <v>2541842.937616</v>
      </c>
      <c r="J14" s="6">
        <v>0.6</v>
      </c>
      <c r="K14" s="6">
        <f t="shared" si="3"/>
        <v>4066948.7001856002</v>
      </c>
      <c r="M14" s="12">
        <v>2014</v>
      </c>
      <c r="N14" s="13">
        <v>156429264</v>
      </c>
      <c r="P14" s="39" t="s">
        <v>357</v>
      </c>
      <c r="Q14" s="29" t="s">
        <v>359</v>
      </c>
      <c r="R14" s="16" t="s">
        <v>374</v>
      </c>
      <c r="T14" s="34" t="s">
        <v>358</v>
      </c>
      <c r="U14" s="29">
        <v>447186943.84939992</v>
      </c>
      <c r="W14" s="41" t="s">
        <v>396</v>
      </c>
      <c r="X14" s="42">
        <f>AVERAGE(X3:X12)</f>
        <v>249536053.9947463</v>
      </c>
    </row>
    <row r="15" spans="1:24" x14ac:dyDescent="0.2">
      <c r="A15" t="s">
        <v>330</v>
      </c>
      <c r="B15" t="s">
        <v>342</v>
      </c>
      <c r="C15" t="s">
        <v>348</v>
      </c>
      <c r="D15">
        <v>1706745</v>
      </c>
      <c r="E15">
        <v>13021967.7707</v>
      </c>
      <c r="F15">
        <f t="shared" si="0"/>
        <v>7.6297090489206063</v>
      </c>
      <c r="G15">
        <v>0.08</v>
      </c>
      <c r="H15" s="6">
        <f t="shared" si="1"/>
        <v>136539.6</v>
      </c>
      <c r="I15" s="6">
        <f t="shared" si="2"/>
        <v>1041757.4216560001</v>
      </c>
      <c r="J15" s="6">
        <v>0.6</v>
      </c>
      <c r="K15" s="6">
        <f t="shared" si="3"/>
        <v>1666811.8746496001</v>
      </c>
      <c r="M15" s="12">
        <v>2013</v>
      </c>
      <c r="N15" s="13">
        <v>280323323</v>
      </c>
      <c r="P15" s="31" t="s">
        <v>330</v>
      </c>
      <c r="Q15" s="27">
        <v>79179875.898400024</v>
      </c>
      <c r="R15" s="11">
        <f>GETPIVOTDATA("# Forest Fish",$P$14,"Forest","Chugach")/GETPIVOTDATA("# Forest Fish",$P$14)*100</f>
        <v>17.70621369595835</v>
      </c>
      <c r="W15" s="43" t="s">
        <v>477</v>
      </c>
      <c r="X15" s="40">
        <f>X14*(6/16)</f>
        <v>93576020.248029858</v>
      </c>
    </row>
    <row r="16" spans="1:24" x14ac:dyDescent="0.2">
      <c r="A16" t="s">
        <v>330</v>
      </c>
      <c r="B16" t="s">
        <v>342</v>
      </c>
      <c r="C16" t="s">
        <v>349</v>
      </c>
      <c r="D16">
        <v>2900187</v>
      </c>
      <c r="E16">
        <v>18080004.0088</v>
      </c>
      <c r="F16">
        <f t="shared" si="0"/>
        <v>6.2340821501510071</v>
      </c>
      <c r="G16">
        <v>0.08</v>
      </c>
      <c r="H16" s="6">
        <f t="shared" si="1"/>
        <v>232014.96</v>
      </c>
      <c r="I16" s="6">
        <f t="shared" si="2"/>
        <v>1446400.3207040001</v>
      </c>
      <c r="J16" s="6">
        <v>0.6</v>
      </c>
      <c r="K16" s="6">
        <f t="shared" si="3"/>
        <v>2314240.5131263998</v>
      </c>
      <c r="M16" s="12">
        <v>2012</v>
      </c>
      <c r="N16" s="13">
        <v>127249924</v>
      </c>
      <c r="P16" s="32" t="s">
        <v>331</v>
      </c>
      <c r="Q16" s="28">
        <v>368007067.95099992</v>
      </c>
      <c r="R16" s="11">
        <f>GETPIVOTDATA("# Forest Fish",$P$14,"Forest","Tongass")/GETPIVOTDATA("# Forest Fish",$P$14)*100</f>
        <v>82.293786304041646</v>
      </c>
    </row>
    <row r="17" spans="1:18" x14ac:dyDescent="0.2">
      <c r="A17" t="s">
        <v>330</v>
      </c>
      <c r="B17" t="s">
        <v>342</v>
      </c>
      <c r="C17" t="s">
        <v>350</v>
      </c>
      <c r="D17">
        <v>3368157</v>
      </c>
      <c r="E17">
        <v>23474818.795499999</v>
      </c>
      <c r="F17">
        <f t="shared" si="0"/>
        <v>6.969633183815362</v>
      </c>
      <c r="G17">
        <v>0.08</v>
      </c>
      <c r="H17" s="6">
        <f t="shared" si="1"/>
        <v>269452.56</v>
      </c>
      <c r="I17" s="6">
        <f t="shared" si="2"/>
        <v>1877985.50364</v>
      </c>
      <c r="J17" s="6">
        <v>0.6</v>
      </c>
      <c r="K17" s="6">
        <f t="shared" si="3"/>
        <v>3004776.8058239999</v>
      </c>
      <c r="M17" s="12">
        <v>2011</v>
      </c>
      <c r="N17" s="13">
        <v>177214215</v>
      </c>
      <c r="P17" s="33" t="s">
        <v>332</v>
      </c>
      <c r="Q17" s="28"/>
      <c r="R17" s="11"/>
    </row>
    <row r="18" spans="1:18" x14ac:dyDescent="0.2">
      <c r="A18" t="s">
        <v>330</v>
      </c>
      <c r="B18" t="s">
        <v>342</v>
      </c>
      <c r="C18" t="s">
        <v>351</v>
      </c>
      <c r="D18">
        <v>5832649</v>
      </c>
      <c r="E18">
        <v>44290753.067199998</v>
      </c>
      <c r="F18">
        <f t="shared" si="0"/>
        <v>7.5935913625524183</v>
      </c>
      <c r="G18">
        <v>0.08</v>
      </c>
      <c r="H18" s="6">
        <f t="shared" si="1"/>
        <v>466611.92</v>
      </c>
      <c r="I18" s="6">
        <f t="shared" si="2"/>
        <v>3543260.2453759997</v>
      </c>
      <c r="J18" s="6">
        <v>0.6</v>
      </c>
      <c r="K18" s="6">
        <f t="shared" si="3"/>
        <v>5669216.392601599</v>
      </c>
      <c r="M18" s="10" t="s">
        <v>375</v>
      </c>
      <c r="N18" s="13">
        <f>SUM(N8:N17)</f>
        <v>1775406692</v>
      </c>
      <c r="P18" s="34" t="s">
        <v>358</v>
      </c>
      <c r="Q18" s="29">
        <v>447186943.84939992</v>
      </c>
      <c r="R18" s="17"/>
    </row>
    <row r="19" spans="1:18" x14ac:dyDescent="0.2">
      <c r="A19" t="s">
        <v>330</v>
      </c>
      <c r="B19" t="s">
        <v>342</v>
      </c>
      <c r="C19" t="s">
        <v>352</v>
      </c>
      <c r="D19">
        <v>3632471</v>
      </c>
      <c r="E19">
        <v>30344026.861200001</v>
      </c>
      <c r="F19">
        <f t="shared" si="0"/>
        <v>8.3535496528946833</v>
      </c>
      <c r="G19">
        <v>0.08</v>
      </c>
      <c r="H19" s="6">
        <f t="shared" si="1"/>
        <v>290597.68</v>
      </c>
      <c r="I19" s="6">
        <f t="shared" si="2"/>
        <v>2427522.1488960003</v>
      </c>
      <c r="J19" s="6">
        <v>0.6</v>
      </c>
      <c r="K19" s="6">
        <f t="shared" si="3"/>
        <v>3884035.4382336005</v>
      </c>
      <c r="M19" s="14" t="s">
        <v>376</v>
      </c>
      <c r="N19" s="15">
        <f>N3/N18</f>
        <v>0.2518785954026358</v>
      </c>
    </row>
    <row r="20" spans="1:18" x14ac:dyDescent="0.2">
      <c r="A20" t="s">
        <v>330</v>
      </c>
      <c r="B20" t="s">
        <v>342</v>
      </c>
      <c r="C20" t="s">
        <v>353</v>
      </c>
      <c r="D20">
        <v>5566420</v>
      </c>
      <c r="E20">
        <v>34626290.460900001</v>
      </c>
      <c r="F20">
        <f t="shared" si="0"/>
        <v>6.2205673414690237</v>
      </c>
      <c r="G20">
        <v>0.08</v>
      </c>
      <c r="H20" s="6">
        <f t="shared" si="1"/>
        <v>445313.60000000003</v>
      </c>
      <c r="I20" s="6">
        <f t="shared" si="2"/>
        <v>2770103.2368720002</v>
      </c>
      <c r="J20" s="6">
        <v>0.6</v>
      </c>
      <c r="K20" s="6">
        <f t="shared" si="3"/>
        <v>4432165.1789952004</v>
      </c>
    </row>
    <row r="21" spans="1:18" x14ac:dyDescent="0.2">
      <c r="A21" t="s">
        <v>330</v>
      </c>
      <c r="B21" t="s">
        <v>342</v>
      </c>
      <c r="C21" t="s">
        <v>354</v>
      </c>
      <c r="D21">
        <v>2062606</v>
      </c>
      <c r="E21">
        <v>15439299.9871</v>
      </c>
      <c r="F21">
        <f t="shared" si="0"/>
        <v>7.4853365049359883</v>
      </c>
      <c r="G21">
        <v>0.08</v>
      </c>
      <c r="H21" s="6">
        <f t="shared" si="1"/>
        <v>165008.48000000001</v>
      </c>
      <c r="I21" s="6">
        <f t="shared" si="2"/>
        <v>1235143.9989680001</v>
      </c>
      <c r="J21" s="6">
        <v>0.6</v>
      </c>
      <c r="K21" s="6">
        <f t="shared" si="3"/>
        <v>1976230.3983487999</v>
      </c>
      <c r="L21"/>
      <c r="M21"/>
    </row>
    <row r="22" spans="1:18" x14ac:dyDescent="0.2">
      <c r="A22" t="s">
        <v>330</v>
      </c>
      <c r="B22" t="s">
        <v>343</v>
      </c>
      <c r="C22" t="s">
        <v>341</v>
      </c>
      <c r="D22">
        <v>465955</v>
      </c>
      <c r="E22">
        <v>3188543.2307000002</v>
      </c>
      <c r="F22">
        <f t="shared" si="0"/>
        <v>6.8430282553036239</v>
      </c>
      <c r="G22">
        <v>0.64</v>
      </c>
      <c r="H22" s="6">
        <f t="shared" si="1"/>
        <v>298211.20000000001</v>
      </c>
      <c r="I22" s="6">
        <f t="shared" si="2"/>
        <v>2040667.6676480002</v>
      </c>
      <c r="J22" s="6">
        <v>0.56999999999999995</v>
      </c>
      <c r="K22" s="6">
        <f t="shared" si="3"/>
        <v>3101814.8548249602</v>
      </c>
      <c r="L22"/>
      <c r="M22"/>
    </row>
    <row r="23" spans="1:18" x14ac:dyDescent="0.2">
      <c r="A23" t="s">
        <v>330</v>
      </c>
      <c r="B23" t="s">
        <v>343</v>
      </c>
      <c r="C23" t="s">
        <v>346</v>
      </c>
      <c r="D23">
        <v>316579</v>
      </c>
      <c r="E23">
        <v>2350273.5517000002</v>
      </c>
      <c r="F23">
        <f t="shared" si="0"/>
        <v>7.4239717470204916</v>
      </c>
      <c r="G23">
        <v>0.64</v>
      </c>
      <c r="H23" s="6">
        <f t="shared" si="1"/>
        <v>202610.56</v>
      </c>
      <c r="I23" s="6">
        <f t="shared" si="2"/>
        <v>1504175.0730880001</v>
      </c>
      <c r="J23" s="6">
        <v>0.56999999999999995</v>
      </c>
      <c r="K23" s="6">
        <f t="shared" si="3"/>
        <v>2286346.11109376</v>
      </c>
      <c r="L23"/>
      <c r="M23"/>
    </row>
    <row r="24" spans="1:18" x14ac:dyDescent="0.2">
      <c r="A24" t="s">
        <v>330</v>
      </c>
      <c r="B24" t="s">
        <v>343</v>
      </c>
      <c r="C24" t="s">
        <v>347</v>
      </c>
      <c r="D24">
        <v>886027</v>
      </c>
      <c r="E24">
        <v>6569246.6827999996</v>
      </c>
      <c r="F24">
        <f t="shared" si="0"/>
        <v>7.4142736991084917</v>
      </c>
      <c r="G24">
        <v>0.64</v>
      </c>
      <c r="H24" s="6">
        <f t="shared" si="1"/>
        <v>567057.28</v>
      </c>
      <c r="I24" s="6">
        <f t="shared" si="2"/>
        <v>4204317.8769920003</v>
      </c>
      <c r="J24" s="6">
        <v>0.56999999999999995</v>
      </c>
      <c r="K24" s="6">
        <f t="shared" si="3"/>
        <v>6390563.1730278395</v>
      </c>
      <c r="L24"/>
      <c r="M24" s="9"/>
    </row>
    <row r="25" spans="1:18" x14ac:dyDescent="0.2">
      <c r="A25" t="s">
        <v>330</v>
      </c>
      <c r="B25" t="s">
        <v>343</v>
      </c>
      <c r="C25" t="s">
        <v>348</v>
      </c>
      <c r="D25">
        <v>751083</v>
      </c>
      <c r="E25">
        <v>5835139.5614</v>
      </c>
      <c r="F25">
        <f t="shared" si="0"/>
        <v>7.7689676925186699</v>
      </c>
      <c r="G25">
        <v>0.64</v>
      </c>
      <c r="H25" s="6">
        <f t="shared" si="1"/>
        <v>480693.12</v>
      </c>
      <c r="I25" s="6">
        <f t="shared" si="2"/>
        <v>3734489.3192960001</v>
      </c>
      <c r="J25" s="6">
        <v>0.56999999999999995</v>
      </c>
      <c r="K25" s="6">
        <f t="shared" si="3"/>
        <v>5676423.7653299198</v>
      </c>
      <c r="L25"/>
      <c r="M25"/>
    </row>
    <row r="26" spans="1:18" x14ac:dyDescent="0.2">
      <c r="A26" t="s">
        <v>330</v>
      </c>
      <c r="B26" t="s">
        <v>343</v>
      </c>
      <c r="C26" t="s">
        <v>349</v>
      </c>
      <c r="D26">
        <v>442106</v>
      </c>
      <c r="E26">
        <v>2871770.7094999999</v>
      </c>
      <c r="F26">
        <f t="shared" si="0"/>
        <v>6.4956610168149718</v>
      </c>
      <c r="G26">
        <v>0.64</v>
      </c>
      <c r="H26" s="6">
        <f t="shared" si="1"/>
        <v>282947.84000000003</v>
      </c>
      <c r="I26" s="6">
        <f t="shared" si="2"/>
        <v>1837933.2540799999</v>
      </c>
      <c r="J26" s="6">
        <v>0.56999999999999995</v>
      </c>
      <c r="K26" s="6">
        <f t="shared" si="3"/>
        <v>2793658.5462015993</v>
      </c>
      <c r="L26"/>
      <c r="M26"/>
    </row>
    <row r="27" spans="1:18" x14ac:dyDescent="0.2">
      <c r="A27" t="s">
        <v>330</v>
      </c>
      <c r="B27" t="s">
        <v>343</v>
      </c>
      <c r="C27" t="s">
        <v>350</v>
      </c>
      <c r="D27">
        <v>629415</v>
      </c>
      <c r="E27">
        <v>5356469.0740999999</v>
      </c>
      <c r="F27">
        <f t="shared" si="0"/>
        <v>8.5102342240016515</v>
      </c>
      <c r="G27">
        <v>0.64</v>
      </c>
      <c r="H27" s="6">
        <f t="shared" si="1"/>
        <v>402825.60000000003</v>
      </c>
      <c r="I27" s="6">
        <f t="shared" si="2"/>
        <v>3428140.2074239999</v>
      </c>
      <c r="J27" s="6">
        <v>0.56999999999999995</v>
      </c>
      <c r="K27" s="6">
        <f t="shared" si="3"/>
        <v>5210773.1152844792</v>
      </c>
      <c r="L27"/>
      <c r="M27"/>
    </row>
    <row r="28" spans="1:18" x14ac:dyDescent="0.2">
      <c r="A28" t="s">
        <v>330</v>
      </c>
      <c r="B28" t="s">
        <v>343</v>
      </c>
      <c r="C28" t="s">
        <v>351</v>
      </c>
      <c r="D28">
        <v>872302</v>
      </c>
      <c r="E28">
        <v>6552311.3361</v>
      </c>
      <c r="F28">
        <f t="shared" si="0"/>
        <v>7.511517038938349</v>
      </c>
      <c r="G28">
        <v>0.64</v>
      </c>
      <c r="H28" s="6">
        <f t="shared" si="1"/>
        <v>558273.28000000003</v>
      </c>
      <c r="I28" s="6">
        <f t="shared" si="2"/>
        <v>4193479.2551040002</v>
      </c>
      <c r="J28" s="6">
        <v>0.56999999999999995</v>
      </c>
      <c r="K28" s="6">
        <f t="shared" si="3"/>
        <v>6374088.4677580791</v>
      </c>
      <c r="L28"/>
      <c r="M28"/>
    </row>
    <row r="29" spans="1:18" x14ac:dyDescent="0.2">
      <c r="A29" t="s">
        <v>330</v>
      </c>
      <c r="B29" t="s">
        <v>343</v>
      </c>
      <c r="C29" t="s">
        <v>352</v>
      </c>
      <c r="D29">
        <v>769089</v>
      </c>
      <c r="E29">
        <v>6177614.9076000005</v>
      </c>
      <c r="F29">
        <f t="shared" si="0"/>
        <v>8.0323797474674592</v>
      </c>
      <c r="G29">
        <v>0.64</v>
      </c>
      <c r="H29" s="6">
        <f t="shared" si="1"/>
        <v>492216.96</v>
      </c>
      <c r="I29" s="6">
        <f t="shared" si="2"/>
        <v>3953673.5408640006</v>
      </c>
      <c r="J29" s="6">
        <v>0.56999999999999995</v>
      </c>
      <c r="K29" s="6">
        <f t="shared" si="3"/>
        <v>6009583.7821132801</v>
      </c>
      <c r="L29"/>
      <c r="M29"/>
    </row>
    <row r="30" spans="1:18" x14ac:dyDescent="0.2">
      <c r="A30" t="s">
        <v>330</v>
      </c>
      <c r="B30" t="s">
        <v>343</v>
      </c>
      <c r="C30" t="s">
        <v>353</v>
      </c>
      <c r="D30">
        <v>701182</v>
      </c>
      <c r="E30">
        <v>5318938.8520999998</v>
      </c>
      <c r="F30">
        <f t="shared" si="0"/>
        <v>7.5856751201542538</v>
      </c>
      <c r="G30">
        <v>0.64</v>
      </c>
      <c r="H30" s="6">
        <f t="shared" si="1"/>
        <v>448756.47999999998</v>
      </c>
      <c r="I30" s="6">
        <f t="shared" si="2"/>
        <v>3404120.865344</v>
      </c>
      <c r="J30" s="6">
        <v>0.56999999999999995</v>
      </c>
      <c r="K30" s="6">
        <f t="shared" si="3"/>
        <v>5174263.7153228791</v>
      </c>
      <c r="M30"/>
    </row>
    <row r="31" spans="1:18" x14ac:dyDescent="0.2">
      <c r="A31" t="s">
        <v>330</v>
      </c>
      <c r="B31" t="s">
        <v>343</v>
      </c>
      <c r="C31" t="s">
        <v>354</v>
      </c>
      <c r="D31">
        <v>430063</v>
      </c>
      <c r="E31">
        <v>3243531.1458000001</v>
      </c>
      <c r="F31">
        <f t="shared" si="0"/>
        <v>7.5419906985720697</v>
      </c>
      <c r="G31">
        <v>0.64</v>
      </c>
      <c r="H31" s="6">
        <f t="shared" si="1"/>
        <v>275240.32000000001</v>
      </c>
      <c r="I31" s="6">
        <f t="shared" si="2"/>
        <v>2075859.933312</v>
      </c>
      <c r="J31" s="6">
        <v>0.56999999999999995</v>
      </c>
      <c r="K31" s="6">
        <f t="shared" si="3"/>
        <v>3155307.0986342398</v>
      </c>
      <c r="M31"/>
    </row>
    <row r="32" spans="1:18" x14ac:dyDescent="0.2">
      <c r="A32" t="s">
        <v>330</v>
      </c>
      <c r="B32" t="s">
        <v>344</v>
      </c>
      <c r="C32" t="s">
        <v>341</v>
      </c>
      <c r="D32">
        <v>33790374</v>
      </c>
      <c r="E32">
        <v>101001525.7251</v>
      </c>
      <c r="F32">
        <f t="shared" si="0"/>
        <v>2.9890620839266235</v>
      </c>
      <c r="G32">
        <v>0.14000000000000001</v>
      </c>
      <c r="H32" s="6">
        <f t="shared" si="1"/>
        <v>4730652.3600000003</v>
      </c>
      <c r="I32" s="6">
        <f t="shared" si="2"/>
        <v>14140213.601514</v>
      </c>
      <c r="J32" s="6">
        <v>0.52</v>
      </c>
      <c r="K32" s="6">
        <f t="shared" si="3"/>
        <v>19607762.860766079</v>
      </c>
      <c r="M32"/>
    </row>
    <row r="33" spans="1:13" x14ac:dyDescent="0.2">
      <c r="A33" t="s">
        <v>330</v>
      </c>
      <c r="B33" t="s">
        <v>344</v>
      </c>
      <c r="C33" t="s">
        <v>346</v>
      </c>
      <c r="D33">
        <v>27958435</v>
      </c>
      <c r="E33">
        <v>109688378.65459999</v>
      </c>
      <c r="F33">
        <f t="shared" si="0"/>
        <v>3.9232660431315272</v>
      </c>
      <c r="G33">
        <v>0.14000000000000001</v>
      </c>
      <c r="H33" s="6">
        <f t="shared" si="1"/>
        <v>3914180.9000000004</v>
      </c>
      <c r="I33" s="6">
        <f t="shared" si="2"/>
        <v>15356373.011644</v>
      </c>
      <c r="J33" s="6">
        <v>0.52</v>
      </c>
      <c r="K33" s="6">
        <f t="shared" si="3"/>
        <v>21294170.576146346</v>
      </c>
      <c r="M33"/>
    </row>
    <row r="34" spans="1:13" x14ac:dyDescent="0.2">
      <c r="A34" t="s">
        <v>330</v>
      </c>
      <c r="B34" t="s">
        <v>344</v>
      </c>
      <c r="C34" t="s">
        <v>347</v>
      </c>
      <c r="D34">
        <v>94628666</v>
      </c>
      <c r="E34">
        <v>263097427.2105</v>
      </c>
      <c r="F34">
        <f t="shared" si="0"/>
        <v>2.7803142359684117</v>
      </c>
      <c r="G34">
        <v>0.14000000000000001</v>
      </c>
      <c r="H34" s="6">
        <f t="shared" si="1"/>
        <v>13248013.240000002</v>
      </c>
      <c r="I34" s="6">
        <f t="shared" si="2"/>
        <v>36833639.809470005</v>
      </c>
      <c r="J34" s="6">
        <v>0.52</v>
      </c>
      <c r="K34" s="6">
        <f t="shared" si="3"/>
        <v>51075980.535798408</v>
      </c>
      <c r="M34"/>
    </row>
    <row r="35" spans="1:13" x14ac:dyDescent="0.2">
      <c r="A35" t="s">
        <v>330</v>
      </c>
      <c r="B35" t="s">
        <v>344</v>
      </c>
      <c r="C35" t="s">
        <v>348</v>
      </c>
      <c r="D35">
        <v>45573508</v>
      </c>
      <c r="E35">
        <v>152527729.78350002</v>
      </c>
      <c r="F35">
        <f t="shared" si="0"/>
        <v>3.3468507577582138</v>
      </c>
      <c r="G35">
        <v>0.14000000000000001</v>
      </c>
      <c r="H35" s="6">
        <f t="shared" si="1"/>
        <v>6380291.120000001</v>
      </c>
      <c r="I35" s="6">
        <f t="shared" si="2"/>
        <v>21353882.169690005</v>
      </c>
      <c r="J35" s="6">
        <v>0.52</v>
      </c>
      <c r="K35" s="6">
        <f t="shared" si="3"/>
        <v>29610716.608636808</v>
      </c>
      <c r="M35"/>
    </row>
    <row r="36" spans="1:13" x14ac:dyDescent="0.2">
      <c r="A36" t="s">
        <v>330</v>
      </c>
      <c r="B36" t="s">
        <v>344</v>
      </c>
      <c r="C36" t="s">
        <v>349</v>
      </c>
      <c r="D36">
        <v>103768913</v>
      </c>
      <c r="E36">
        <v>347362504.1566</v>
      </c>
      <c r="F36">
        <f t="shared" si="0"/>
        <v>3.3474621070435613</v>
      </c>
      <c r="G36">
        <v>0.14000000000000001</v>
      </c>
      <c r="H36" s="6">
        <f t="shared" si="1"/>
        <v>14527647.820000002</v>
      </c>
      <c r="I36" s="6">
        <f t="shared" si="2"/>
        <v>48630750.581924006</v>
      </c>
      <c r="J36" s="6">
        <v>0.52</v>
      </c>
      <c r="K36" s="6">
        <f t="shared" si="3"/>
        <v>67434640.806934625</v>
      </c>
      <c r="M36"/>
    </row>
    <row r="37" spans="1:13" x14ac:dyDescent="0.2">
      <c r="A37" t="s">
        <v>330</v>
      </c>
      <c r="B37" t="s">
        <v>344</v>
      </c>
      <c r="C37" t="s">
        <v>350</v>
      </c>
      <c r="D37">
        <v>13579628</v>
      </c>
      <c r="E37">
        <v>54087125.126000002</v>
      </c>
      <c r="F37">
        <f t="shared" si="0"/>
        <v>3.9829607354487178</v>
      </c>
      <c r="G37">
        <v>0.14000000000000001</v>
      </c>
      <c r="H37" s="6">
        <f t="shared" si="1"/>
        <v>1901147.9200000002</v>
      </c>
      <c r="I37" s="6">
        <f t="shared" si="2"/>
        <v>7572197.5176400011</v>
      </c>
      <c r="J37" s="6">
        <v>0.52</v>
      </c>
      <c r="K37" s="6">
        <f t="shared" si="3"/>
        <v>10500113.891127469</v>
      </c>
      <c r="M37"/>
    </row>
    <row r="38" spans="1:13" x14ac:dyDescent="0.2">
      <c r="A38" t="s">
        <v>330</v>
      </c>
      <c r="B38" t="s">
        <v>344</v>
      </c>
      <c r="C38" t="s">
        <v>351</v>
      </c>
      <c r="D38">
        <v>50775516</v>
      </c>
      <c r="E38">
        <v>195382200.95590001</v>
      </c>
      <c r="F38">
        <f t="shared" si="0"/>
        <v>3.8479609139944539</v>
      </c>
      <c r="G38">
        <v>0.14000000000000001</v>
      </c>
      <c r="H38" s="6">
        <f t="shared" si="1"/>
        <v>7108572.2400000002</v>
      </c>
      <c r="I38" s="6">
        <f t="shared" si="2"/>
        <v>27353508.133826006</v>
      </c>
      <c r="J38" s="6">
        <v>0.52</v>
      </c>
      <c r="K38" s="6">
        <f t="shared" si="3"/>
        <v>37930197.945572063</v>
      </c>
      <c r="M38"/>
    </row>
    <row r="39" spans="1:13" x14ac:dyDescent="0.2">
      <c r="A39" t="s">
        <v>330</v>
      </c>
      <c r="B39" t="s">
        <v>344</v>
      </c>
      <c r="C39" t="s">
        <v>352</v>
      </c>
      <c r="D39">
        <v>25720726</v>
      </c>
      <c r="E39">
        <v>97365377.466600001</v>
      </c>
      <c r="F39">
        <f t="shared" si="0"/>
        <v>3.7854832506127547</v>
      </c>
      <c r="G39">
        <v>0.14000000000000001</v>
      </c>
      <c r="H39" s="6">
        <f t="shared" si="1"/>
        <v>3600901.64</v>
      </c>
      <c r="I39" s="6">
        <f t="shared" si="2"/>
        <v>13631152.845324002</v>
      </c>
      <c r="J39" s="6">
        <v>0.52</v>
      </c>
      <c r="K39" s="6">
        <f t="shared" si="3"/>
        <v>18901865.278849285</v>
      </c>
      <c r="M39"/>
    </row>
    <row r="40" spans="1:13" x14ac:dyDescent="0.2">
      <c r="A40" t="s">
        <v>330</v>
      </c>
      <c r="B40" t="s">
        <v>344</v>
      </c>
      <c r="C40" t="s">
        <v>353</v>
      </c>
      <c r="D40">
        <v>50847293</v>
      </c>
      <c r="E40">
        <v>174094479.54159999</v>
      </c>
      <c r="F40">
        <f t="shared" si="0"/>
        <v>3.4238691829985912</v>
      </c>
      <c r="G40">
        <v>0.14000000000000001</v>
      </c>
      <c r="H40" s="6">
        <f t="shared" si="1"/>
        <v>7118621.0200000005</v>
      </c>
      <c r="I40" s="6">
        <f t="shared" si="2"/>
        <v>24373227.135824002</v>
      </c>
      <c r="J40" s="6">
        <v>0.52</v>
      </c>
      <c r="K40" s="6">
        <f t="shared" si="3"/>
        <v>33797541.628342621</v>
      </c>
    </row>
    <row r="41" spans="1:13" x14ac:dyDescent="0.2">
      <c r="A41" t="s">
        <v>330</v>
      </c>
      <c r="B41" t="s">
        <v>344</v>
      </c>
      <c r="C41" t="s">
        <v>354</v>
      </c>
      <c r="D41">
        <v>25873302</v>
      </c>
      <c r="E41">
        <v>93463812.864099994</v>
      </c>
      <c r="F41">
        <f t="shared" si="0"/>
        <v>3.6123650883099496</v>
      </c>
      <c r="G41">
        <v>0.14000000000000001</v>
      </c>
      <c r="H41" s="6">
        <f t="shared" si="1"/>
        <v>3622262.2800000003</v>
      </c>
      <c r="I41" s="6">
        <f t="shared" si="2"/>
        <v>13084933.800974</v>
      </c>
      <c r="J41" s="6">
        <v>0.52</v>
      </c>
      <c r="K41" s="6">
        <f t="shared" si="3"/>
        <v>18144441.537350614</v>
      </c>
    </row>
    <row r="42" spans="1:13" x14ac:dyDescent="0.2">
      <c r="A42" t="s">
        <v>330</v>
      </c>
      <c r="B42" t="s">
        <v>345</v>
      </c>
      <c r="C42" t="s">
        <v>341</v>
      </c>
      <c r="D42">
        <v>9199360</v>
      </c>
      <c r="E42">
        <v>58076032.1734</v>
      </c>
      <c r="F42">
        <f t="shared" si="0"/>
        <v>6.3130513615512385</v>
      </c>
      <c r="G42">
        <v>0.12</v>
      </c>
      <c r="H42" s="6">
        <f t="shared" si="1"/>
        <v>1103923.2</v>
      </c>
      <c r="I42" s="6">
        <f t="shared" si="2"/>
        <v>6969123.860808</v>
      </c>
      <c r="J42" s="6">
        <v>0.53</v>
      </c>
      <c r="K42" s="6">
        <f t="shared" si="3"/>
        <v>9849695.0566086415</v>
      </c>
    </row>
    <row r="43" spans="1:13" x14ac:dyDescent="0.2">
      <c r="A43" t="s">
        <v>330</v>
      </c>
      <c r="B43" t="s">
        <v>345</v>
      </c>
      <c r="C43" t="s">
        <v>346</v>
      </c>
      <c r="D43">
        <v>7018164</v>
      </c>
      <c r="E43">
        <v>47389172.501400001</v>
      </c>
      <c r="F43">
        <f t="shared" si="0"/>
        <v>6.7523603753631294</v>
      </c>
      <c r="G43">
        <v>0.12</v>
      </c>
      <c r="H43" s="6">
        <f t="shared" si="1"/>
        <v>842179.67999999993</v>
      </c>
      <c r="I43" s="6">
        <f t="shared" si="2"/>
        <v>5686700.7001679996</v>
      </c>
      <c r="J43" s="6">
        <v>0.53</v>
      </c>
      <c r="K43" s="6">
        <f t="shared" si="3"/>
        <v>8037203.6562374393</v>
      </c>
    </row>
    <row r="44" spans="1:13" x14ac:dyDescent="0.2">
      <c r="A44" t="s">
        <v>330</v>
      </c>
      <c r="B44" t="s">
        <v>345</v>
      </c>
      <c r="C44" t="s">
        <v>347</v>
      </c>
      <c r="D44">
        <v>5177824</v>
      </c>
      <c r="E44">
        <v>32072165.0748</v>
      </c>
      <c r="F44">
        <f t="shared" si="0"/>
        <v>6.1941396762037488</v>
      </c>
      <c r="G44">
        <v>0.12</v>
      </c>
      <c r="H44" s="6">
        <f t="shared" si="1"/>
        <v>621338.88</v>
      </c>
      <c r="I44" s="6">
        <f t="shared" si="2"/>
        <v>3848659.8089759997</v>
      </c>
      <c r="J44" s="6">
        <v>0.53</v>
      </c>
      <c r="K44" s="6">
        <f t="shared" si="3"/>
        <v>5439439.1966860797</v>
      </c>
    </row>
    <row r="45" spans="1:13" x14ac:dyDescent="0.2">
      <c r="A45" t="s">
        <v>330</v>
      </c>
      <c r="B45" t="s">
        <v>345</v>
      </c>
      <c r="C45" t="s">
        <v>348</v>
      </c>
      <c r="D45">
        <v>5905429</v>
      </c>
      <c r="E45">
        <v>35615655.304499999</v>
      </c>
      <c r="F45">
        <f t="shared" si="0"/>
        <v>6.0310022022955483</v>
      </c>
      <c r="G45">
        <v>0.12</v>
      </c>
      <c r="H45" s="6">
        <f t="shared" si="1"/>
        <v>708651.48</v>
      </c>
      <c r="I45" s="6">
        <f t="shared" si="2"/>
        <v>4273878.6365399994</v>
      </c>
      <c r="J45" s="6">
        <v>0.53</v>
      </c>
      <c r="K45" s="6">
        <f t="shared" si="3"/>
        <v>6040415.1396431997</v>
      </c>
    </row>
    <row r="46" spans="1:13" x14ac:dyDescent="0.2">
      <c r="A46" t="s">
        <v>330</v>
      </c>
      <c r="B46" t="s">
        <v>345</v>
      </c>
      <c r="C46" t="s">
        <v>349</v>
      </c>
      <c r="D46">
        <v>6098557</v>
      </c>
      <c r="E46">
        <v>32645503.261799999</v>
      </c>
      <c r="F46">
        <f t="shared" si="0"/>
        <v>5.3529881350293191</v>
      </c>
      <c r="G46">
        <v>0.12</v>
      </c>
      <c r="H46" s="6">
        <f t="shared" si="1"/>
        <v>731826.84</v>
      </c>
      <c r="I46" s="6">
        <f t="shared" si="2"/>
        <v>3917460.3914159997</v>
      </c>
      <c r="J46" s="6">
        <v>0.53</v>
      </c>
      <c r="K46" s="6">
        <f t="shared" si="3"/>
        <v>5536677.3532012803</v>
      </c>
    </row>
    <row r="47" spans="1:13" x14ac:dyDescent="0.2">
      <c r="A47" t="s">
        <v>330</v>
      </c>
      <c r="B47" t="s">
        <v>345</v>
      </c>
      <c r="C47" t="s">
        <v>350</v>
      </c>
      <c r="D47">
        <v>4633775</v>
      </c>
      <c r="E47">
        <v>25655865.552999999</v>
      </c>
      <c r="F47">
        <f t="shared" si="0"/>
        <v>5.5367093898603192</v>
      </c>
      <c r="G47">
        <v>0.12</v>
      </c>
      <c r="H47" s="6">
        <f t="shared" si="1"/>
        <v>556053</v>
      </c>
      <c r="I47" s="6">
        <f t="shared" si="2"/>
        <v>3078703.8663599999</v>
      </c>
      <c r="J47" s="6">
        <v>0.53</v>
      </c>
      <c r="K47" s="6">
        <f t="shared" si="3"/>
        <v>4351234.7977887997</v>
      </c>
    </row>
    <row r="48" spans="1:13" x14ac:dyDescent="0.2">
      <c r="A48" t="s">
        <v>330</v>
      </c>
      <c r="B48" t="s">
        <v>345</v>
      </c>
      <c r="C48" t="s">
        <v>351</v>
      </c>
      <c r="D48">
        <v>3570477</v>
      </c>
      <c r="E48">
        <v>20204445.315900002</v>
      </c>
      <c r="F48">
        <f t="shared" si="0"/>
        <v>5.6587524064431731</v>
      </c>
      <c r="G48">
        <v>0.12</v>
      </c>
      <c r="H48" s="6">
        <f t="shared" si="1"/>
        <v>428457.24</v>
      </c>
      <c r="I48" s="6">
        <f t="shared" si="2"/>
        <v>2424533.4379080003</v>
      </c>
      <c r="J48" s="6">
        <v>0.53</v>
      </c>
      <c r="K48" s="6">
        <f t="shared" si="3"/>
        <v>3426673.9255766408</v>
      </c>
    </row>
    <row r="49" spans="1:11" x14ac:dyDescent="0.2">
      <c r="A49" t="s">
        <v>330</v>
      </c>
      <c r="B49" t="s">
        <v>345</v>
      </c>
      <c r="C49" t="s">
        <v>352</v>
      </c>
      <c r="D49">
        <v>2497423</v>
      </c>
      <c r="E49">
        <v>11832648.230799999</v>
      </c>
      <c r="F49">
        <f t="shared" si="0"/>
        <v>4.737943164133589</v>
      </c>
      <c r="G49">
        <v>0.12</v>
      </c>
      <c r="H49" s="6">
        <f t="shared" si="1"/>
        <v>299690.76</v>
      </c>
      <c r="I49" s="6">
        <f t="shared" si="2"/>
        <v>1419917.7876959997</v>
      </c>
      <c r="J49" s="6">
        <v>0.53</v>
      </c>
      <c r="K49" s="6">
        <f t="shared" si="3"/>
        <v>2006817.1399436798</v>
      </c>
    </row>
    <row r="50" spans="1:11" x14ac:dyDescent="0.2">
      <c r="A50" t="s">
        <v>330</v>
      </c>
      <c r="B50" t="s">
        <v>345</v>
      </c>
      <c r="C50" t="s">
        <v>353</v>
      </c>
      <c r="D50">
        <v>4620512</v>
      </c>
      <c r="E50">
        <v>25056698.7337</v>
      </c>
      <c r="F50">
        <f t="shared" si="0"/>
        <v>5.4229268820641519</v>
      </c>
      <c r="G50">
        <v>0.12</v>
      </c>
      <c r="H50" s="6">
        <f t="shared" si="1"/>
        <v>554461.43999999994</v>
      </c>
      <c r="I50" s="6">
        <f t="shared" si="2"/>
        <v>3006803.8480439996</v>
      </c>
      <c r="J50" s="6">
        <v>0.53</v>
      </c>
      <c r="K50" s="6">
        <f t="shared" si="3"/>
        <v>4249616.1052355198</v>
      </c>
    </row>
    <row r="51" spans="1:11" x14ac:dyDescent="0.2">
      <c r="A51" t="s">
        <v>330</v>
      </c>
      <c r="B51" t="s">
        <v>345</v>
      </c>
      <c r="C51" t="s">
        <v>354</v>
      </c>
      <c r="D51">
        <v>1860317</v>
      </c>
      <c r="E51">
        <v>8741830.3364000004</v>
      </c>
      <c r="F51">
        <f t="shared" si="0"/>
        <v>4.6991079135437674</v>
      </c>
      <c r="G51">
        <v>0.12</v>
      </c>
      <c r="H51" s="6">
        <f t="shared" si="1"/>
        <v>223238.03999999998</v>
      </c>
      <c r="I51" s="6">
        <f t="shared" si="2"/>
        <v>1049019.6403679999</v>
      </c>
      <c r="J51" s="6">
        <v>0.53</v>
      </c>
      <c r="K51" s="6">
        <f t="shared" si="3"/>
        <v>1482614.42505344</v>
      </c>
    </row>
    <row r="52" spans="1:11" x14ac:dyDescent="0.2">
      <c r="A52" t="s">
        <v>331</v>
      </c>
      <c r="B52" t="s">
        <v>340</v>
      </c>
      <c r="C52" t="s">
        <v>341</v>
      </c>
      <c r="D52">
        <v>342672</v>
      </c>
      <c r="E52">
        <v>5134051.4840000002</v>
      </c>
      <c r="F52">
        <f t="shared" si="0"/>
        <v>14.982407328290611</v>
      </c>
      <c r="G52">
        <v>7.0000000000000007E-2</v>
      </c>
      <c r="H52" s="6">
        <f t="shared" si="1"/>
        <v>23987.040000000001</v>
      </c>
      <c r="I52" s="6">
        <f t="shared" si="2"/>
        <v>359383.60388000007</v>
      </c>
      <c r="J52" s="6">
        <v>0.55000000000000004</v>
      </c>
      <c r="K52" s="6">
        <f t="shared" si="3"/>
        <v>527095.9523573335</v>
      </c>
    </row>
    <row r="53" spans="1:11" x14ac:dyDescent="0.2">
      <c r="A53" t="s">
        <v>331</v>
      </c>
      <c r="B53" t="s">
        <v>340</v>
      </c>
      <c r="C53" t="s">
        <v>346</v>
      </c>
      <c r="D53">
        <v>275738</v>
      </c>
      <c r="E53">
        <v>4063201.5443000002</v>
      </c>
      <c r="F53">
        <f t="shared" si="0"/>
        <v>14.735732994001554</v>
      </c>
      <c r="G53">
        <v>7.0000000000000007E-2</v>
      </c>
      <c r="H53" s="6">
        <f t="shared" si="1"/>
        <v>19301.660000000003</v>
      </c>
      <c r="I53" s="6">
        <f t="shared" si="2"/>
        <v>284424.10810100002</v>
      </c>
      <c r="J53" s="6">
        <v>0.55000000000000004</v>
      </c>
      <c r="K53" s="6">
        <f t="shared" si="3"/>
        <v>417155.3585481334</v>
      </c>
    </row>
    <row r="54" spans="1:11" x14ac:dyDescent="0.2">
      <c r="A54" t="s">
        <v>331</v>
      </c>
      <c r="B54" t="s">
        <v>340</v>
      </c>
      <c r="C54" t="s">
        <v>347</v>
      </c>
      <c r="D54">
        <v>247213</v>
      </c>
      <c r="E54">
        <v>3578904.7765000002</v>
      </c>
      <c r="F54">
        <f t="shared" si="0"/>
        <v>14.477008800103555</v>
      </c>
      <c r="G54">
        <v>7.0000000000000007E-2</v>
      </c>
      <c r="H54" s="6">
        <f t="shared" si="1"/>
        <v>17304.91</v>
      </c>
      <c r="I54" s="6">
        <f t="shared" si="2"/>
        <v>250523.33435500003</v>
      </c>
      <c r="J54" s="6">
        <v>0.55000000000000004</v>
      </c>
      <c r="K54" s="6">
        <f t="shared" si="3"/>
        <v>367434.22372066672</v>
      </c>
    </row>
    <row r="55" spans="1:11" x14ac:dyDescent="0.2">
      <c r="A55" t="s">
        <v>331</v>
      </c>
      <c r="B55" t="s">
        <v>340</v>
      </c>
      <c r="C55" t="s">
        <v>348</v>
      </c>
      <c r="D55">
        <v>436936</v>
      </c>
      <c r="E55">
        <v>6010208.7914000005</v>
      </c>
      <c r="F55">
        <f t="shared" si="0"/>
        <v>13.755352709321274</v>
      </c>
      <c r="G55">
        <v>7.0000000000000007E-2</v>
      </c>
      <c r="H55" s="6">
        <f t="shared" si="1"/>
        <v>30585.520000000004</v>
      </c>
      <c r="I55" s="6">
        <f t="shared" si="2"/>
        <v>420714.61539800005</v>
      </c>
      <c r="J55" s="6">
        <v>0.55000000000000004</v>
      </c>
      <c r="K55" s="6">
        <f t="shared" si="3"/>
        <v>617048.1025837335</v>
      </c>
    </row>
    <row r="56" spans="1:11" x14ac:dyDescent="0.2">
      <c r="A56" t="s">
        <v>331</v>
      </c>
      <c r="B56" t="s">
        <v>340</v>
      </c>
      <c r="C56" t="s">
        <v>349</v>
      </c>
      <c r="D56">
        <v>354496</v>
      </c>
      <c r="E56">
        <v>4821152.2655999996</v>
      </c>
      <c r="F56">
        <f t="shared" si="0"/>
        <v>13.600018803033038</v>
      </c>
      <c r="G56">
        <v>7.0000000000000007E-2</v>
      </c>
      <c r="H56" s="6">
        <f t="shared" si="1"/>
        <v>24814.720000000001</v>
      </c>
      <c r="I56" s="6">
        <f t="shared" si="2"/>
        <v>337480.65859200002</v>
      </c>
      <c r="J56" s="6">
        <v>0.55000000000000004</v>
      </c>
      <c r="K56" s="6">
        <f t="shared" si="3"/>
        <v>494971.63260160008</v>
      </c>
    </row>
    <row r="57" spans="1:11" x14ac:dyDescent="0.2">
      <c r="A57" t="s">
        <v>331</v>
      </c>
      <c r="B57" t="s">
        <v>340</v>
      </c>
      <c r="C57" t="s">
        <v>350</v>
      </c>
      <c r="D57">
        <v>312124</v>
      </c>
      <c r="E57">
        <v>4203564.5952000003</v>
      </c>
      <c r="F57">
        <f t="shared" si="0"/>
        <v>13.46761093411593</v>
      </c>
      <c r="G57">
        <v>7.0000000000000007E-2</v>
      </c>
      <c r="H57" s="6">
        <f t="shared" si="1"/>
        <v>21848.68</v>
      </c>
      <c r="I57" s="6">
        <f t="shared" si="2"/>
        <v>294249.52166400006</v>
      </c>
      <c r="J57" s="6">
        <v>0.55000000000000004</v>
      </c>
      <c r="K57" s="6">
        <f t="shared" si="3"/>
        <v>431565.96510720014</v>
      </c>
    </row>
    <row r="58" spans="1:11" x14ac:dyDescent="0.2">
      <c r="A58" t="s">
        <v>331</v>
      </c>
      <c r="B58" t="s">
        <v>340</v>
      </c>
      <c r="C58" t="s">
        <v>351</v>
      </c>
      <c r="D58">
        <v>173427</v>
      </c>
      <c r="E58">
        <v>2232894.3849999998</v>
      </c>
      <c r="F58">
        <f t="shared" si="0"/>
        <v>12.875125470659123</v>
      </c>
      <c r="G58">
        <v>7.0000000000000007E-2</v>
      </c>
      <c r="H58" s="6">
        <f t="shared" si="1"/>
        <v>12139.890000000001</v>
      </c>
      <c r="I58" s="6">
        <f t="shared" si="2"/>
        <v>156302.60694999999</v>
      </c>
      <c r="J58" s="6">
        <v>0.55000000000000004</v>
      </c>
      <c r="K58" s="6">
        <f t="shared" si="3"/>
        <v>229243.82352666665</v>
      </c>
    </row>
    <row r="59" spans="1:11" x14ac:dyDescent="0.2">
      <c r="A59" t="s">
        <v>331</v>
      </c>
      <c r="B59" t="s">
        <v>340</v>
      </c>
      <c r="C59" t="s">
        <v>352</v>
      </c>
      <c r="D59">
        <v>164048</v>
      </c>
      <c r="E59">
        <v>2262431.3075000001</v>
      </c>
      <c r="F59">
        <f t="shared" si="0"/>
        <v>13.791276379474301</v>
      </c>
      <c r="G59">
        <v>7.0000000000000007E-2</v>
      </c>
      <c r="H59" s="6">
        <f t="shared" si="1"/>
        <v>11483.36</v>
      </c>
      <c r="I59" s="6">
        <f t="shared" si="2"/>
        <v>158370.19152500003</v>
      </c>
      <c r="J59" s="6">
        <v>0.55000000000000004</v>
      </c>
      <c r="K59" s="6">
        <f t="shared" si="3"/>
        <v>232276.28090333342</v>
      </c>
    </row>
    <row r="60" spans="1:11" x14ac:dyDescent="0.2">
      <c r="A60" t="s">
        <v>331</v>
      </c>
      <c r="B60" t="s">
        <v>340</v>
      </c>
      <c r="C60" t="s">
        <v>353</v>
      </c>
      <c r="D60">
        <v>184447</v>
      </c>
      <c r="E60">
        <v>2462002.452</v>
      </c>
      <c r="F60">
        <f t="shared" si="0"/>
        <v>13.348021122598904</v>
      </c>
      <c r="G60">
        <v>7.0000000000000007E-2</v>
      </c>
      <c r="H60" s="6">
        <f t="shared" si="1"/>
        <v>12911.29</v>
      </c>
      <c r="I60" s="6">
        <f t="shared" si="2"/>
        <v>172340.17164000002</v>
      </c>
      <c r="J60" s="6">
        <v>0.55000000000000004</v>
      </c>
      <c r="K60" s="6">
        <f t="shared" si="3"/>
        <v>252765.58507200005</v>
      </c>
    </row>
    <row r="61" spans="1:11" x14ac:dyDescent="0.2">
      <c r="A61" t="s">
        <v>331</v>
      </c>
      <c r="B61" t="s">
        <v>340</v>
      </c>
      <c r="C61" t="s">
        <v>354</v>
      </c>
      <c r="D61">
        <v>209503</v>
      </c>
      <c r="E61">
        <v>2880044.2694000001</v>
      </c>
      <c r="F61">
        <f t="shared" si="0"/>
        <v>13.747031161367618</v>
      </c>
      <c r="G61">
        <v>7.0000000000000007E-2</v>
      </c>
      <c r="H61" s="6">
        <f t="shared" si="1"/>
        <v>14665.210000000001</v>
      </c>
      <c r="I61" s="6">
        <f t="shared" si="2"/>
        <v>201603.09885800001</v>
      </c>
      <c r="J61" s="6">
        <v>0.55000000000000004</v>
      </c>
      <c r="K61" s="6">
        <f t="shared" si="3"/>
        <v>295684.54499173339</v>
      </c>
    </row>
    <row r="62" spans="1:11" x14ac:dyDescent="0.2">
      <c r="A62" t="s">
        <v>331</v>
      </c>
      <c r="B62" t="s">
        <v>342</v>
      </c>
      <c r="C62" t="s">
        <v>341</v>
      </c>
      <c r="D62">
        <v>10729152</v>
      </c>
      <c r="E62">
        <v>82056422.493399993</v>
      </c>
      <c r="F62">
        <f t="shared" si="0"/>
        <v>7.6479876968282294</v>
      </c>
      <c r="G62">
        <v>0.17</v>
      </c>
      <c r="H62" s="6">
        <f t="shared" si="1"/>
        <v>1823955.84</v>
      </c>
      <c r="I62" s="6">
        <f t="shared" si="2"/>
        <v>13949591.823878</v>
      </c>
      <c r="J62" s="6">
        <v>0.6</v>
      </c>
      <c r="K62" s="6">
        <f t="shared" si="3"/>
        <v>22319346.918204799</v>
      </c>
    </row>
    <row r="63" spans="1:11" x14ac:dyDescent="0.2">
      <c r="A63" t="s">
        <v>331</v>
      </c>
      <c r="B63" t="s">
        <v>342</v>
      </c>
      <c r="C63" t="s">
        <v>346</v>
      </c>
      <c r="D63">
        <v>12369065</v>
      </c>
      <c r="E63">
        <v>112815596.87980001</v>
      </c>
      <c r="F63">
        <f t="shared" si="0"/>
        <v>9.1207861612660306</v>
      </c>
      <c r="G63">
        <v>0.17</v>
      </c>
      <c r="H63" s="6">
        <f t="shared" si="1"/>
        <v>2102741.0500000003</v>
      </c>
      <c r="I63" s="6">
        <f t="shared" si="2"/>
        <v>19178651.469566002</v>
      </c>
      <c r="J63" s="6">
        <v>0.6</v>
      </c>
      <c r="K63" s="6">
        <f t="shared" si="3"/>
        <v>30685842.351305604</v>
      </c>
    </row>
    <row r="64" spans="1:11" x14ac:dyDescent="0.2">
      <c r="A64" t="s">
        <v>331</v>
      </c>
      <c r="B64" t="s">
        <v>342</v>
      </c>
      <c r="C64" t="s">
        <v>347</v>
      </c>
      <c r="D64">
        <v>12570521.5</v>
      </c>
      <c r="E64">
        <v>98215525.815599993</v>
      </c>
      <c r="F64">
        <f t="shared" si="0"/>
        <v>7.8131623907249983</v>
      </c>
      <c r="G64">
        <v>0.17</v>
      </c>
      <c r="H64" s="6">
        <f t="shared" si="1"/>
        <v>2136988.6550000003</v>
      </c>
      <c r="I64" s="6">
        <f t="shared" si="2"/>
        <v>16696639.388652001</v>
      </c>
      <c r="J64" s="6">
        <v>0.6</v>
      </c>
      <c r="K64" s="6">
        <f t="shared" si="3"/>
        <v>26714623.021843199</v>
      </c>
    </row>
    <row r="65" spans="1:11" x14ac:dyDescent="0.2">
      <c r="A65" t="s">
        <v>331</v>
      </c>
      <c r="B65" t="s">
        <v>342</v>
      </c>
      <c r="C65" t="s">
        <v>348</v>
      </c>
      <c r="D65">
        <v>6678435.7999999998</v>
      </c>
      <c r="E65">
        <v>60738294.9815</v>
      </c>
      <c r="F65">
        <f t="shared" si="0"/>
        <v>9.0946887565348771</v>
      </c>
      <c r="G65">
        <v>0.17</v>
      </c>
      <c r="H65" s="6">
        <f t="shared" si="1"/>
        <v>1135334.0860000001</v>
      </c>
      <c r="I65" s="6">
        <f t="shared" si="2"/>
        <v>10325510.146855</v>
      </c>
      <c r="J65" s="6">
        <v>0.6</v>
      </c>
      <c r="K65" s="6">
        <f t="shared" si="3"/>
        <v>16520816.234967999</v>
      </c>
    </row>
    <row r="66" spans="1:11" x14ac:dyDescent="0.2">
      <c r="A66" t="s">
        <v>331</v>
      </c>
      <c r="B66" t="s">
        <v>342</v>
      </c>
      <c r="C66" t="s">
        <v>349</v>
      </c>
      <c r="D66">
        <v>11626457</v>
      </c>
      <c r="E66">
        <v>95305565.954500005</v>
      </c>
      <c r="F66">
        <f t="shared" si="0"/>
        <v>8.1973008591095304</v>
      </c>
      <c r="G66">
        <v>0.17</v>
      </c>
      <c r="H66" s="6">
        <f t="shared" si="1"/>
        <v>1976497.6900000002</v>
      </c>
      <c r="I66" s="6">
        <f t="shared" si="2"/>
        <v>16201946.212265002</v>
      </c>
      <c r="J66" s="6">
        <v>0.6</v>
      </c>
      <c r="K66" s="6">
        <f t="shared" si="3"/>
        <v>25923113.939624</v>
      </c>
    </row>
    <row r="67" spans="1:11" x14ac:dyDescent="0.2">
      <c r="A67" t="s">
        <v>331</v>
      </c>
      <c r="B67" t="s">
        <v>342</v>
      </c>
      <c r="C67" t="s">
        <v>350</v>
      </c>
      <c r="D67">
        <v>9115620</v>
      </c>
      <c r="E67">
        <v>73424433.314899996</v>
      </c>
      <c r="F67">
        <f t="shared" ref="F67:F101" si="4">E67/D67</f>
        <v>8.0547931259640038</v>
      </c>
      <c r="G67">
        <v>0.17</v>
      </c>
      <c r="H67" s="6">
        <f t="shared" ref="H67:H101" si="5">D67*G67</f>
        <v>1549655.4000000001</v>
      </c>
      <c r="I67" s="6">
        <f t="shared" ref="I67:I101" si="6">E67*G67</f>
        <v>12482153.663533</v>
      </c>
      <c r="J67" s="6">
        <v>0.6</v>
      </c>
      <c r="K67" s="6">
        <f t="shared" si="3"/>
        <v>19971445.861652799</v>
      </c>
    </row>
    <row r="68" spans="1:11" x14ac:dyDescent="0.2">
      <c r="A68" t="s">
        <v>331</v>
      </c>
      <c r="B68" t="s">
        <v>342</v>
      </c>
      <c r="C68" t="s">
        <v>351</v>
      </c>
      <c r="D68">
        <v>11426914</v>
      </c>
      <c r="E68">
        <v>95443819.660699993</v>
      </c>
      <c r="F68">
        <f t="shared" si="4"/>
        <v>8.3525455482293811</v>
      </c>
      <c r="G68">
        <v>0.17</v>
      </c>
      <c r="H68" s="6">
        <f t="shared" si="5"/>
        <v>1942575.3800000001</v>
      </c>
      <c r="I68" s="6">
        <f t="shared" si="6"/>
        <v>16225449.342319001</v>
      </c>
      <c r="J68" s="6">
        <v>0.6</v>
      </c>
      <c r="K68" s="6">
        <f t="shared" ref="K68:K101" si="7">(I68*J68)/(6/16)</f>
        <v>25960718.947710399</v>
      </c>
    </row>
    <row r="69" spans="1:11" x14ac:dyDescent="0.2">
      <c r="A69" t="s">
        <v>331</v>
      </c>
      <c r="B69" t="s">
        <v>342</v>
      </c>
      <c r="C69" t="s">
        <v>352</v>
      </c>
      <c r="D69">
        <v>11482406</v>
      </c>
      <c r="E69">
        <v>96668837.715499997</v>
      </c>
      <c r="F69">
        <f t="shared" si="4"/>
        <v>8.4188660212415414</v>
      </c>
      <c r="G69">
        <v>0.17</v>
      </c>
      <c r="H69" s="6">
        <f t="shared" si="5"/>
        <v>1952009.0200000003</v>
      </c>
      <c r="I69" s="6">
        <f t="shared" si="6"/>
        <v>16433702.411635</v>
      </c>
      <c r="J69" s="6">
        <v>0.6</v>
      </c>
      <c r="K69" s="6">
        <f t="shared" si="7"/>
        <v>26293923.858615998</v>
      </c>
    </row>
    <row r="70" spans="1:11" x14ac:dyDescent="0.2">
      <c r="A70" t="s">
        <v>331</v>
      </c>
      <c r="B70" t="s">
        <v>342</v>
      </c>
      <c r="C70" t="s">
        <v>353</v>
      </c>
      <c r="D70">
        <v>9374706</v>
      </c>
      <c r="E70">
        <v>74662109.917999998</v>
      </c>
      <c r="F70">
        <f t="shared" si="4"/>
        <v>7.9642081488208802</v>
      </c>
      <c r="G70">
        <v>0.17</v>
      </c>
      <c r="H70" s="6">
        <f t="shared" si="5"/>
        <v>1593700.02</v>
      </c>
      <c r="I70" s="6">
        <f t="shared" si="6"/>
        <v>12692558.68606</v>
      </c>
      <c r="J70" s="6">
        <v>0.6</v>
      </c>
      <c r="K70" s="6">
        <f t="shared" si="7"/>
        <v>20308093.897696</v>
      </c>
    </row>
    <row r="71" spans="1:11" x14ac:dyDescent="0.2">
      <c r="A71" t="s">
        <v>331</v>
      </c>
      <c r="B71" t="s">
        <v>342</v>
      </c>
      <c r="C71" t="s">
        <v>354</v>
      </c>
      <c r="D71">
        <v>4676449</v>
      </c>
      <c r="E71">
        <v>34978968.268700004</v>
      </c>
      <c r="F71">
        <f t="shared" si="4"/>
        <v>7.4798139076679773</v>
      </c>
      <c r="G71">
        <v>0.17</v>
      </c>
      <c r="H71" s="6">
        <f t="shared" si="5"/>
        <v>794996.33000000007</v>
      </c>
      <c r="I71" s="6">
        <f t="shared" si="6"/>
        <v>5946424.6056790007</v>
      </c>
      <c r="J71" s="6">
        <v>0.6</v>
      </c>
      <c r="K71" s="6">
        <f t="shared" si="7"/>
        <v>9514279.3690864015</v>
      </c>
    </row>
    <row r="72" spans="1:11" x14ac:dyDescent="0.2">
      <c r="A72" t="s">
        <v>331</v>
      </c>
      <c r="B72" t="s">
        <v>343</v>
      </c>
      <c r="C72" t="s">
        <v>341</v>
      </c>
      <c r="D72">
        <v>2304408</v>
      </c>
      <c r="E72">
        <v>14567462.6131</v>
      </c>
      <c r="F72">
        <f t="shared" si="4"/>
        <v>6.3215639822028047</v>
      </c>
      <c r="G72">
        <v>0.69</v>
      </c>
      <c r="H72" s="6">
        <f t="shared" si="5"/>
        <v>1590041.5199999998</v>
      </c>
      <c r="I72" s="6">
        <f t="shared" si="6"/>
        <v>10051549.203039</v>
      </c>
      <c r="J72" s="6">
        <v>0.56999999999999995</v>
      </c>
      <c r="K72" s="6">
        <f t="shared" si="7"/>
        <v>15278354.788619278</v>
      </c>
    </row>
    <row r="73" spans="1:11" x14ac:dyDescent="0.2">
      <c r="A73" t="s">
        <v>331</v>
      </c>
      <c r="B73" t="s">
        <v>343</v>
      </c>
      <c r="C73" t="s">
        <v>346</v>
      </c>
      <c r="D73">
        <v>2083871</v>
      </c>
      <c r="E73">
        <v>14101885.5693</v>
      </c>
      <c r="F73">
        <f t="shared" si="4"/>
        <v>6.7671586049712289</v>
      </c>
      <c r="G73">
        <v>0.69</v>
      </c>
      <c r="H73" s="6">
        <f t="shared" si="5"/>
        <v>1437870.99</v>
      </c>
      <c r="I73" s="6">
        <f t="shared" si="6"/>
        <v>9730301.0428169984</v>
      </c>
      <c r="J73" s="6">
        <v>0.56999999999999995</v>
      </c>
      <c r="K73" s="6">
        <f t="shared" si="7"/>
        <v>14790057.585081836</v>
      </c>
    </row>
    <row r="74" spans="1:11" x14ac:dyDescent="0.2">
      <c r="A74" t="s">
        <v>331</v>
      </c>
      <c r="B74" t="s">
        <v>343</v>
      </c>
      <c r="C74" t="s">
        <v>347</v>
      </c>
      <c r="D74">
        <v>3873514</v>
      </c>
      <c r="E74">
        <v>25117928.4848</v>
      </c>
      <c r="F74">
        <f t="shared" si="4"/>
        <v>6.484532774323263</v>
      </c>
      <c r="G74">
        <v>0.69</v>
      </c>
      <c r="H74" s="6">
        <f t="shared" si="5"/>
        <v>2672724.6599999997</v>
      </c>
      <c r="I74" s="6">
        <f t="shared" si="6"/>
        <v>17331370.654511999</v>
      </c>
      <c r="J74" s="6">
        <v>0.56999999999999995</v>
      </c>
      <c r="K74" s="6">
        <f t="shared" si="7"/>
        <v>26343683.394858237</v>
      </c>
    </row>
    <row r="75" spans="1:11" x14ac:dyDescent="0.2">
      <c r="A75" t="s">
        <v>331</v>
      </c>
      <c r="B75" t="s">
        <v>343</v>
      </c>
      <c r="C75" t="s">
        <v>348</v>
      </c>
      <c r="D75">
        <v>3789405</v>
      </c>
      <c r="E75">
        <v>28280543.669</v>
      </c>
      <c r="F75">
        <f t="shared" si="4"/>
        <v>7.4630565138854248</v>
      </c>
      <c r="G75">
        <v>0.69</v>
      </c>
      <c r="H75" s="6">
        <f t="shared" si="5"/>
        <v>2614689.4499999997</v>
      </c>
      <c r="I75" s="6">
        <f t="shared" si="6"/>
        <v>19513575.131609999</v>
      </c>
      <c r="J75" s="6">
        <v>0.56999999999999995</v>
      </c>
      <c r="K75" s="6">
        <f t="shared" si="7"/>
        <v>29660634.200047195</v>
      </c>
    </row>
    <row r="76" spans="1:11" x14ac:dyDescent="0.2">
      <c r="A76" t="s">
        <v>331</v>
      </c>
      <c r="B76" t="s">
        <v>343</v>
      </c>
      <c r="C76" t="s">
        <v>349</v>
      </c>
      <c r="D76">
        <v>2158670</v>
      </c>
      <c r="E76">
        <v>15030282.0394</v>
      </c>
      <c r="F76">
        <f t="shared" si="4"/>
        <v>6.9627511566844404</v>
      </c>
      <c r="G76">
        <v>0.69</v>
      </c>
      <c r="H76" s="6">
        <f t="shared" si="5"/>
        <v>1489482.2999999998</v>
      </c>
      <c r="I76" s="6">
        <f t="shared" si="6"/>
        <v>10370894.607185999</v>
      </c>
      <c r="J76" s="6">
        <v>0.56999999999999995</v>
      </c>
      <c r="K76" s="6">
        <f t="shared" si="7"/>
        <v>15763759.802922718</v>
      </c>
    </row>
    <row r="77" spans="1:11" x14ac:dyDescent="0.2">
      <c r="A77" t="s">
        <v>331</v>
      </c>
      <c r="B77" t="s">
        <v>343</v>
      </c>
      <c r="C77" t="s">
        <v>350</v>
      </c>
      <c r="D77">
        <v>2327503</v>
      </c>
      <c r="E77">
        <v>17091906.1461</v>
      </c>
      <c r="F77">
        <f t="shared" si="4"/>
        <v>7.3434518220169851</v>
      </c>
      <c r="G77">
        <v>0.69</v>
      </c>
      <c r="H77" s="6">
        <f t="shared" si="5"/>
        <v>1605977.0699999998</v>
      </c>
      <c r="I77" s="6">
        <f t="shared" si="6"/>
        <v>11793415.240808999</v>
      </c>
      <c r="J77" s="6">
        <v>0.56999999999999995</v>
      </c>
      <c r="K77" s="6">
        <f t="shared" si="7"/>
        <v>17925991.166029677</v>
      </c>
    </row>
    <row r="78" spans="1:11" x14ac:dyDescent="0.2">
      <c r="A78" t="s">
        <v>331</v>
      </c>
      <c r="B78" t="s">
        <v>343</v>
      </c>
      <c r="C78" t="s">
        <v>351</v>
      </c>
      <c r="D78">
        <v>2873620</v>
      </c>
      <c r="E78">
        <v>17715571.562899999</v>
      </c>
      <c r="F78">
        <f t="shared" si="4"/>
        <v>6.1648970855227896</v>
      </c>
      <c r="G78">
        <v>0.69</v>
      </c>
      <c r="H78" s="6">
        <f t="shared" si="5"/>
        <v>1982797.7999999998</v>
      </c>
      <c r="I78" s="6">
        <f t="shared" si="6"/>
        <v>12223744.378400998</v>
      </c>
      <c r="J78" s="6">
        <v>0.56999999999999995</v>
      </c>
      <c r="K78" s="6">
        <f t="shared" si="7"/>
        <v>18580091.455169518</v>
      </c>
    </row>
    <row r="79" spans="1:11" x14ac:dyDescent="0.2">
      <c r="A79" t="s">
        <v>331</v>
      </c>
      <c r="B79" t="s">
        <v>343</v>
      </c>
      <c r="C79" t="s">
        <v>352</v>
      </c>
      <c r="D79">
        <v>1602466</v>
      </c>
      <c r="E79">
        <v>12790127.4691</v>
      </c>
      <c r="F79">
        <f t="shared" si="4"/>
        <v>7.9815281379448928</v>
      </c>
      <c r="G79">
        <v>0.69</v>
      </c>
      <c r="H79" s="6">
        <f t="shared" si="5"/>
        <v>1105701.5399999998</v>
      </c>
      <c r="I79" s="6">
        <f t="shared" si="6"/>
        <v>8825187.9536789991</v>
      </c>
      <c r="J79" s="6">
        <v>0.56999999999999995</v>
      </c>
      <c r="K79" s="6">
        <f t="shared" si="7"/>
        <v>13414285.689592078</v>
      </c>
    </row>
    <row r="80" spans="1:11" x14ac:dyDescent="0.2">
      <c r="A80" t="s">
        <v>331</v>
      </c>
      <c r="B80" t="s">
        <v>343</v>
      </c>
      <c r="C80" t="s">
        <v>353</v>
      </c>
      <c r="D80">
        <v>1712692</v>
      </c>
      <c r="E80">
        <v>12521430.346799999</v>
      </c>
      <c r="F80">
        <f t="shared" si="4"/>
        <v>7.3109644622617491</v>
      </c>
      <c r="G80">
        <v>0.69</v>
      </c>
      <c r="H80" s="6">
        <f t="shared" si="5"/>
        <v>1181757.48</v>
      </c>
      <c r="I80" s="6">
        <f t="shared" si="6"/>
        <v>8639786.9392919987</v>
      </c>
      <c r="J80" s="6">
        <v>0.56999999999999995</v>
      </c>
      <c r="K80" s="6">
        <f t="shared" si="7"/>
        <v>13132476.147723837</v>
      </c>
    </row>
    <row r="81" spans="1:11" x14ac:dyDescent="0.2">
      <c r="A81" t="s">
        <v>331</v>
      </c>
      <c r="B81" t="s">
        <v>343</v>
      </c>
      <c r="C81" t="s">
        <v>354</v>
      </c>
      <c r="D81">
        <v>1159279</v>
      </c>
      <c r="E81">
        <v>7961636.6580999997</v>
      </c>
      <c r="F81">
        <f t="shared" si="4"/>
        <v>6.867748538617537</v>
      </c>
      <c r="G81">
        <v>0.69</v>
      </c>
      <c r="H81" s="6">
        <f t="shared" si="5"/>
        <v>799902.50999999989</v>
      </c>
      <c r="I81" s="6">
        <f t="shared" si="6"/>
        <v>5493529.2940889997</v>
      </c>
      <c r="J81" s="6">
        <v>0.56999999999999995</v>
      </c>
      <c r="K81" s="6">
        <f t="shared" si="7"/>
        <v>8350164.527015279</v>
      </c>
    </row>
    <row r="82" spans="1:11" x14ac:dyDescent="0.2">
      <c r="A82" t="s">
        <v>331</v>
      </c>
      <c r="B82" t="s">
        <v>344</v>
      </c>
      <c r="C82" t="s">
        <v>341</v>
      </c>
      <c r="D82">
        <v>59079411</v>
      </c>
      <c r="E82">
        <v>219187889.64340001</v>
      </c>
      <c r="F82">
        <f t="shared" si="4"/>
        <v>3.7100554310434819</v>
      </c>
      <c r="G82">
        <v>0.98</v>
      </c>
      <c r="H82" s="6">
        <f t="shared" si="5"/>
        <v>57897822.780000001</v>
      </c>
      <c r="I82" s="6">
        <f t="shared" si="6"/>
        <v>214804131.850532</v>
      </c>
      <c r="J82" s="6">
        <v>0.52</v>
      </c>
      <c r="K82" s="6">
        <f t="shared" si="7"/>
        <v>297861729.49940437</v>
      </c>
    </row>
    <row r="83" spans="1:11" x14ac:dyDescent="0.2">
      <c r="A83" t="s">
        <v>331</v>
      </c>
      <c r="B83" t="s">
        <v>344</v>
      </c>
      <c r="C83" t="s">
        <v>346</v>
      </c>
      <c r="D83">
        <v>21302122</v>
      </c>
      <c r="E83">
        <v>76150042.148800001</v>
      </c>
      <c r="F83">
        <f t="shared" si="4"/>
        <v>3.57476321602139</v>
      </c>
      <c r="G83">
        <v>0.98</v>
      </c>
      <c r="H83" s="6">
        <f t="shared" si="5"/>
        <v>20876079.559999999</v>
      </c>
      <c r="I83" s="6">
        <f t="shared" si="6"/>
        <v>74627041.305823997</v>
      </c>
      <c r="J83" s="6">
        <v>0.52</v>
      </c>
      <c r="K83" s="6">
        <f t="shared" si="7"/>
        <v>103482830.61074261</v>
      </c>
    </row>
    <row r="84" spans="1:11" x14ac:dyDescent="0.2">
      <c r="A84" t="s">
        <v>331</v>
      </c>
      <c r="B84" t="s">
        <v>344</v>
      </c>
      <c r="C84" t="s">
        <v>347</v>
      </c>
      <c r="D84">
        <v>94779875</v>
      </c>
      <c r="E84">
        <v>304977147.74809998</v>
      </c>
      <c r="F84">
        <f t="shared" si="4"/>
        <v>3.2177416117936426</v>
      </c>
      <c r="G84">
        <v>0.98</v>
      </c>
      <c r="H84" s="6">
        <f t="shared" si="5"/>
        <v>92884277.5</v>
      </c>
      <c r="I84" s="6">
        <f t="shared" si="6"/>
        <v>298877604.79313797</v>
      </c>
      <c r="J84" s="6">
        <v>0.52</v>
      </c>
      <c r="K84" s="6">
        <f t="shared" si="7"/>
        <v>414443611.97981805</v>
      </c>
    </row>
    <row r="85" spans="1:11" x14ac:dyDescent="0.2">
      <c r="A85" t="s">
        <v>331</v>
      </c>
      <c r="B85" t="s">
        <v>344</v>
      </c>
      <c r="C85" t="s">
        <v>348</v>
      </c>
      <c r="D85">
        <v>37186408.700000003</v>
      </c>
      <c r="E85">
        <v>131434182.6065</v>
      </c>
      <c r="F85">
        <f t="shared" si="4"/>
        <v>3.5344682963832423</v>
      </c>
      <c r="G85">
        <v>0.98</v>
      </c>
      <c r="H85" s="6">
        <f t="shared" si="5"/>
        <v>36442680.526000001</v>
      </c>
      <c r="I85" s="6">
        <f t="shared" si="6"/>
        <v>128805498.95436999</v>
      </c>
      <c r="J85" s="6">
        <v>0.52</v>
      </c>
      <c r="K85" s="6">
        <f t="shared" si="7"/>
        <v>178610291.88339308</v>
      </c>
    </row>
    <row r="86" spans="1:11" x14ac:dyDescent="0.2">
      <c r="A86" t="s">
        <v>331</v>
      </c>
      <c r="B86" t="s">
        <v>344</v>
      </c>
      <c r="C86" t="s">
        <v>349</v>
      </c>
      <c r="D86">
        <v>35151092</v>
      </c>
      <c r="E86">
        <v>128041037.2156</v>
      </c>
      <c r="F86">
        <f t="shared" si="4"/>
        <v>3.6425905976292285</v>
      </c>
      <c r="G86">
        <v>0.98</v>
      </c>
      <c r="H86" s="6">
        <f t="shared" si="5"/>
        <v>34448070.159999996</v>
      </c>
      <c r="I86" s="6">
        <f t="shared" si="6"/>
        <v>125480216.471288</v>
      </c>
      <c r="J86" s="6">
        <v>0.52</v>
      </c>
      <c r="K86" s="6">
        <f t="shared" si="7"/>
        <v>173999233.50685269</v>
      </c>
    </row>
    <row r="87" spans="1:11" x14ac:dyDescent="0.2">
      <c r="A87" t="s">
        <v>331</v>
      </c>
      <c r="B87" t="s">
        <v>344</v>
      </c>
      <c r="C87" t="s">
        <v>350</v>
      </c>
      <c r="D87">
        <v>18385506</v>
      </c>
      <c r="E87">
        <v>72636869.965900004</v>
      </c>
      <c r="F87">
        <f t="shared" si="4"/>
        <v>3.9507680651215149</v>
      </c>
      <c r="G87">
        <v>0.98</v>
      </c>
      <c r="H87" s="6">
        <f t="shared" si="5"/>
        <v>18017795.879999999</v>
      </c>
      <c r="I87" s="6">
        <f t="shared" si="6"/>
        <v>71184132.566582009</v>
      </c>
      <c r="J87" s="6">
        <v>0.52</v>
      </c>
      <c r="K87" s="6">
        <f t="shared" si="7"/>
        <v>98708663.825660393</v>
      </c>
    </row>
    <row r="88" spans="1:11" x14ac:dyDescent="0.2">
      <c r="A88" t="s">
        <v>331</v>
      </c>
      <c r="B88" t="s">
        <v>344</v>
      </c>
      <c r="C88" t="s">
        <v>351</v>
      </c>
      <c r="D88">
        <v>34801951</v>
      </c>
      <c r="E88">
        <v>128042103.1168</v>
      </c>
      <c r="F88">
        <f t="shared" si="4"/>
        <v>3.6791645134147792</v>
      </c>
      <c r="G88">
        <v>0.98</v>
      </c>
      <c r="H88" s="6">
        <f t="shared" si="5"/>
        <v>34105911.979999997</v>
      </c>
      <c r="I88" s="6">
        <f t="shared" si="6"/>
        <v>125481261.054464</v>
      </c>
      <c r="J88" s="6">
        <v>0.52</v>
      </c>
      <c r="K88" s="6">
        <f t="shared" si="7"/>
        <v>174000681.99552342</v>
      </c>
    </row>
    <row r="89" spans="1:11" x14ac:dyDescent="0.2">
      <c r="A89" t="s">
        <v>331</v>
      </c>
      <c r="B89" t="s">
        <v>344</v>
      </c>
      <c r="C89" t="s">
        <v>352</v>
      </c>
      <c r="D89">
        <v>8082745</v>
      </c>
      <c r="E89">
        <v>31280263.6567</v>
      </c>
      <c r="F89">
        <f t="shared" si="4"/>
        <v>3.870005011502899</v>
      </c>
      <c r="G89">
        <v>0.98</v>
      </c>
      <c r="H89" s="6">
        <f t="shared" si="5"/>
        <v>7921090.0999999996</v>
      </c>
      <c r="I89" s="6">
        <f t="shared" si="6"/>
        <v>30654658.383566</v>
      </c>
      <c r="J89" s="6">
        <v>0.52</v>
      </c>
      <c r="K89" s="6">
        <f t="shared" si="7"/>
        <v>42507792.958544858</v>
      </c>
    </row>
    <row r="90" spans="1:11" x14ac:dyDescent="0.2">
      <c r="A90" t="s">
        <v>331</v>
      </c>
      <c r="B90" t="s">
        <v>344</v>
      </c>
      <c r="C90" t="s">
        <v>353</v>
      </c>
      <c r="D90">
        <v>21149905</v>
      </c>
      <c r="E90">
        <v>78026222.923099995</v>
      </c>
      <c r="F90">
        <f t="shared" si="4"/>
        <v>3.6891996878047442</v>
      </c>
      <c r="G90">
        <v>0.98</v>
      </c>
      <c r="H90" s="6">
        <f t="shared" si="5"/>
        <v>20726906.899999999</v>
      </c>
      <c r="I90" s="6">
        <f t="shared" si="6"/>
        <v>76465698.464637995</v>
      </c>
      <c r="J90" s="6">
        <v>0.52</v>
      </c>
      <c r="K90" s="6">
        <f t="shared" si="7"/>
        <v>106032435.20429802</v>
      </c>
    </row>
    <row r="91" spans="1:11" x14ac:dyDescent="0.2">
      <c r="A91" t="s">
        <v>331</v>
      </c>
      <c r="B91" t="s">
        <v>344</v>
      </c>
      <c r="C91" t="s">
        <v>354</v>
      </c>
      <c r="D91">
        <v>8058812</v>
      </c>
      <c r="E91">
        <v>28362474.936999999</v>
      </c>
      <c r="F91">
        <f t="shared" si="4"/>
        <v>3.5194362316678935</v>
      </c>
      <c r="G91">
        <v>0.98</v>
      </c>
      <c r="H91" s="6">
        <f t="shared" si="5"/>
        <v>7897635.7599999998</v>
      </c>
      <c r="I91" s="6">
        <f t="shared" si="6"/>
        <v>27795225.43826</v>
      </c>
      <c r="J91" s="6">
        <v>0.52</v>
      </c>
      <c r="K91" s="6">
        <f t="shared" si="7"/>
        <v>38542712.607720532</v>
      </c>
    </row>
    <row r="92" spans="1:11" x14ac:dyDescent="0.2">
      <c r="A92" t="s">
        <v>331</v>
      </c>
      <c r="B92" t="s">
        <v>345</v>
      </c>
      <c r="C92" t="s">
        <v>341</v>
      </c>
      <c r="D92">
        <v>1235374</v>
      </c>
      <c r="E92">
        <v>7519472.2565000001</v>
      </c>
      <c r="F92">
        <f t="shared" si="4"/>
        <v>6.0867982137393213</v>
      </c>
      <c r="G92">
        <v>0.28999999999999998</v>
      </c>
      <c r="H92" s="6">
        <f t="shared" si="5"/>
        <v>358258.45999999996</v>
      </c>
      <c r="I92" s="6">
        <f t="shared" si="6"/>
        <v>2180646.9543849998</v>
      </c>
      <c r="J92" s="6">
        <v>0.53</v>
      </c>
      <c r="K92" s="6">
        <f t="shared" si="7"/>
        <v>3081981.0288641336</v>
      </c>
    </row>
    <row r="93" spans="1:11" x14ac:dyDescent="0.2">
      <c r="A93" t="s">
        <v>331</v>
      </c>
      <c r="B93" t="s">
        <v>345</v>
      </c>
      <c r="C93" t="s">
        <v>346</v>
      </c>
      <c r="D93">
        <v>944142.6</v>
      </c>
      <c r="E93">
        <v>5928805.7192000002</v>
      </c>
      <c r="F93">
        <f t="shared" si="4"/>
        <v>6.2795659460763664</v>
      </c>
      <c r="G93">
        <v>0.28999999999999998</v>
      </c>
      <c r="H93" s="6">
        <f t="shared" si="5"/>
        <v>273801.35399999999</v>
      </c>
      <c r="I93" s="6">
        <f t="shared" si="6"/>
        <v>1719353.658568</v>
      </c>
      <c r="J93" s="6">
        <v>0.53</v>
      </c>
      <c r="K93" s="6">
        <f t="shared" si="7"/>
        <v>2430019.8374427734</v>
      </c>
    </row>
    <row r="94" spans="1:11" x14ac:dyDescent="0.2">
      <c r="A94" t="s">
        <v>331</v>
      </c>
      <c r="B94" t="s">
        <v>345</v>
      </c>
      <c r="C94" t="s">
        <v>347</v>
      </c>
      <c r="D94">
        <v>970397</v>
      </c>
      <c r="E94">
        <v>5869230.7194999997</v>
      </c>
      <c r="F94">
        <f t="shared" si="4"/>
        <v>6.0482778898739378</v>
      </c>
      <c r="G94">
        <v>0.28999999999999998</v>
      </c>
      <c r="H94" s="6">
        <f t="shared" si="5"/>
        <v>281415.13</v>
      </c>
      <c r="I94" s="6">
        <f t="shared" si="6"/>
        <v>1702076.9086549997</v>
      </c>
      <c r="J94" s="6">
        <v>0.53</v>
      </c>
      <c r="K94" s="6">
        <f t="shared" si="7"/>
        <v>2405602.0308990665</v>
      </c>
    </row>
    <row r="95" spans="1:11" x14ac:dyDescent="0.2">
      <c r="A95" t="s">
        <v>331</v>
      </c>
      <c r="B95" t="s">
        <v>345</v>
      </c>
      <c r="C95" t="s">
        <v>348</v>
      </c>
      <c r="D95">
        <v>1663861</v>
      </c>
      <c r="E95">
        <v>9742558.3233000003</v>
      </c>
      <c r="F95">
        <f t="shared" si="4"/>
        <v>5.8553919608068226</v>
      </c>
      <c r="G95">
        <v>0.28999999999999998</v>
      </c>
      <c r="H95" s="6">
        <f t="shared" si="5"/>
        <v>482519.68999999994</v>
      </c>
      <c r="I95" s="6">
        <f t="shared" si="6"/>
        <v>2825341.9137570001</v>
      </c>
      <c r="J95" s="6">
        <v>0.53</v>
      </c>
      <c r="K95" s="6">
        <f t="shared" si="7"/>
        <v>3993149.9047765601</v>
      </c>
    </row>
    <row r="96" spans="1:11" x14ac:dyDescent="0.2">
      <c r="A96" t="s">
        <v>331</v>
      </c>
      <c r="B96" t="s">
        <v>345</v>
      </c>
      <c r="C96" t="s">
        <v>349</v>
      </c>
      <c r="D96">
        <v>1523912</v>
      </c>
      <c r="E96">
        <v>8467832.0885000005</v>
      </c>
      <c r="F96">
        <f t="shared" si="4"/>
        <v>5.5566411239625388</v>
      </c>
      <c r="G96">
        <v>0.28999999999999998</v>
      </c>
      <c r="H96" s="6">
        <f t="shared" si="5"/>
        <v>441934.48</v>
      </c>
      <c r="I96" s="6">
        <f t="shared" si="6"/>
        <v>2455671.3056649999</v>
      </c>
      <c r="J96" s="6">
        <v>0.53</v>
      </c>
      <c r="K96" s="6">
        <f t="shared" si="7"/>
        <v>3470682.1120065334</v>
      </c>
    </row>
    <row r="97" spans="1:11" x14ac:dyDescent="0.2">
      <c r="A97" t="s">
        <v>331</v>
      </c>
      <c r="B97" t="s">
        <v>345</v>
      </c>
      <c r="C97" t="s">
        <v>350</v>
      </c>
      <c r="D97">
        <v>1500683</v>
      </c>
      <c r="E97">
        <v>8524952.0404000003</v>
      </c>
      <c r="F97">
        <f t="shared" si="4"/>
        <v>5.6807147414877095</v>
      </c>
      <c r="G97">
        <v>0.28999999999999998</v>
      </c>
      <c r="H97" s="6">
        <f t="shared" si="5"/>
        <v>435198.06999999995</v>
      </c>
      <c r="I97" s="6">
        <f t="shared" si="6"/>
        <v>2472236.0917159999</v>
      </c>
      <c r="J97" s="6">
        <v>0.53</v>
      </c>
      <c r="K97" s="6">
        <f t="shared" si="7"/>
        <v>3494093.6762919468</v>
      </c>
    </row>
    <row r="98" spans="1:11" x14ac:dyDescent="0.2">
      <c r="A98" t="s">
        <v>331</v>
      </c>
      <c r="B98" t="s">
        <v>345</v>
      </c>
      <c r="C98" t="s">
        <v>351</v>
      </c>
      <c r="D98">
        <v>796607</v>
      </c>
      <c r="E98">
        <v>4496960.2482000003</v>
      </c>
      <c r="F98">
        <f t="shared" si="4"/>
        <v>5.645142772031881</v>
      </c>
      <c r="G98">
        <v>0.28999999999999998</v>
      </c>
      <c r="H98" s="6">
        <f t="shared" si="5"/>
        <v>231016.02999999997</v>
      </c>
      <c r="I98" s="6">
        <f t="shared" si="6"/>
        <v>1304118.4719779999</v>
      </c>
      <c r="J98" s="6">
        <v>0.53</v>
      </c>
      <c r="K98" s="6">
        <f t="shared" si="7"/>
        <v>1843154.1070622399</v>
      </c>
    </row>
    <row r="99" spans="1:11" x14ac:dyDescent="0.2">
      <c r="A99" t="s">
        <v>331</v>
      </c>
      <c r="B99" t="s">
        <v>345</v>
      </c>
      <c r="C99" t="s">
        <v>352</v>
      </c>
      <c r="D99">
        <v>631675</v>
      </c>
      <c r="E99">
        <v>3388430.6072999998</v>
      </c>
      <c r="F99">
        <f t="shared" si="4"/>
        <v>5.3641993229113067</v>
      </c>
      <c r="G99">
        <v>0.28999999999999998</v>
      </c>
      <c r="H99" s="6">
        <f t="shared" si="5"/>
        <v>183185.75</v>
      </c>
      <c r="I99" s="6">
        <f t="shared" si="6"/>
        <v>982644.87611699989</v>
      </c>
      <c r="J99" s="6">
        <v>0.53</v>
      </c>
      <c r="K99" s="6">
        <f t="shared" si="7"/>
        <v>1388804.7582453599</v>
      </c>
    </row>
    <row r="100" spans="1:11" x14ac:dyDescent="0.2">
      <c r="A100" t="s">
        <v>331</v>
      </c>
      <c r="B100" t="s">
        <v>345</v>
      </c>
      <c r="C100" t="s">
        <v>353</v>
      </c>
      <c r="D100">
        <v>1005692</v>
      </c>
      <c r="E100">
        <v>5621492.5110999998</v>
      </c>
      <c r="F100">
        <f t="shared" si="4"/>
        <v>5.5896760748817726</v>
      </c>
      <c r="G100">
        <v>0.28999999999999998</v>
      </c>
      <c r="H100" s="6">
        <f t="shared" si="5"/>
        <v>291650.68</v>
      </c>
      <c r="I100" s="6">
        <f t="shared" si="6"/>
        <v>1630232.8282189998</v>
      </c>
      <c r="J100" s="6">
        <v>0.53</v>
      </c>
      <c r="K100" s="6">
        <f t="shared" si="7"/>
        <v>2304062.3972161864</v>
      </c>
    </row>
    <row r="101" spans="1:11" x14ac:dyDescent="0.2">
      <c r="A101" t="s">
        <v>331</v>
      </c>
      <c r="B101" t="s">
        <v>345</v>
      </c>
      <c r="C101" t="s">
        <v>354</v>
      </c>
      <c r="D101">
        <v>453021</v>
      </c>
      <c r="E101">
        <v>2342837.5060999999</v>
      </c>
      <c r="F101">
        <f t="shared" si="4"/>
        <v>5.1715869818396936</v>
      </c>
      <c r="G101">
        <v>0.28999999999999998</v>
      </c>
      <c r="H101" s="6">
        <f t="shared" si="5"/>
        <v>131376.09</v>
      </c>
      <c r="I101" s="6">
        <f t="shared" si="6"/>
        <v>679422.87676899997</v>
      </c>
      <c r="J101" s="6">
        <v>0.53</v>
      </c>
      <c r="K101" s="6">
        <f t="shared" si="7"/>
        <v>960250.99916685326</v>
      </c>
    </row>
    <row r="103" spans="1:11" x14ac:dyDescent="0.2">
      <c r="H103"/>
      <c r="I103"/>
    </row>
  </sheetData>
  <sortState xmlns:xlrd2="http://schemas.microsoft.com/office/spreadsheetml/2017/richdata2" ref="A2:E101">
    <sortCondition ref="A2:A101"/>
    <sortCondition ref="B2:B101"/>
  </sortState>
  <mergeCells count="6">
    <mergeCell ref="P13:R13"/>
    <mergeCell ref="W1:X1"/>
    <mergeCell ref="M6:N6"/>
    <mergeCell ref="M1:N1"/>
    <mergeCell ref="T1:U1"/>
    <mergeCell ref="P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ABA6-728E-45FA-9F47-82CF00F79FEC}">
  <dimension ref="A1:Z74"/>
  <sheetViews>
    <sheetView topLeftCell="A36" workbookViewId="0">
      <selection activeCell="N74" sqref="A51:N74"/>
    </sheetView>
  </sheetViews>
  <sheetFormatPr baseColWidth="10" defaultColWidth="8.83203125" defaultRowHeight="15" x14ac:dyDescent="0.2"/>
  <cols>
    <col min="1" max="1" width="18" bestFit="1" customWidth="1"/>
    <col min="2" max="2" width="22.83203125" bestFit="1" customWidth="1"/>
    <col min="3" max="3" width="14" bestFit="1" customWidth="1"/>
    <col min="4" max="4" width="20" bestFit="1" customWidth="1"/>
    <col min="5" max="5" width="14" bestFit="1" customWidth="1"/>
    <col min="6" max="6" width="20" bestFit="1" customWidth="1"/>
    <col min="7" max="7" width="14" bestFit="1" customWidth="1"/>
    <col min="8" max="8" width="20" bestFit="1" customWidth="1"/>
    <col min="9" max="9" width="14" bestFit="1" customWidth="1"/>
    <col min="10" max="10" width="20" bestFit="1" customWidth="1"/>
    <col min="11" max="11" width="14" bestFit="1" customWidth="1"/>
    <col min="12" max="12" width="12" bestFit="1" customWidth="1"/>
    <col min="13" max="13" width="18.1640625" bestFit="1" customWidth="1"/>
    <col min="14" max="14" width="12" bestFit="1" customWidth="1"/>
    <col min="15" max="16" width="12" customWidth="1"/>
    <col min="22" max="22" width="10.83203125" bestFit="1" customWidth="1"/>
    <col min="23" max="23" width="13.1640625" bestFit="1" customWidth="1"/>
    <col min="24" max="24" width="14.33203125" bestFit="1" customWidth="1"/>
    <col min="25" max="25" width="13.83203125" bestFit="1" customWidth="1"/>
    <col min="26" max="26" width="35.33203125" bestFit="1" customWidth="1"/>
  </cols>
  <sheetData>
    <row r="1" spans="1:26" ht="17" thickBot="1" x14ac:dyDescent="0.25">
      <c r="B1" s="1"/>
      <c r="C1" s="1" t="str">
        <f>CombinedRAW!L5</f>
        <v>Chinook</v>
      </c>
      <c r="D1" s="1" t="str">
        <f>CombinedRAW!M5</f>
        <v>Chinook</v>
      </c>
      <c r="E1" s="1" t="str">
        <f>CombinedRAW!N5</f>
        <v>Chum</v>
      </c>
      <c r="F1" s="1" t="str">
        <f>CombinedRAW!O5</f>
        <v>Chum</v>
      </c>
      <c r="G1" s="1" t="str">
        <f>CombinedRAW!P5</f>
        <v>Coho</v>
      </c>
      <c r="H1" s="1" t="str">
        <f>CombinedRAW!Q5</f>
        <v>Coho</v>
      </c>
      <c r="I1" s="1" t="str">
        <f>CombinedRAW!R5</f>
        <v>Pink</v>
      </c>
      <c r="J1" s="1" t="str">
        <f>CombinedRAW!S5</f>
        <v>Pink</v>
      </c>
      <c r="K1" s="1" t="str">
        <f>CombinedRAW!T5</f>
        <v>Sockeye</v>
      </c>
      <c r="L1" s="1" t="str">
        <f>CombinedRAW!U5</f>
        <v>Sockeye</v>
      </c>
      <c r="M1" s="119" t="s">
        <v>403</v>
      </c>
      <c r="N1" s="119"/>
      <c r="O1" s="73"/>
      <c r="P1" s="73"/>
      <c r="R1" s="135" t="s">
        <v>366</v>
      </c>
      <c r="S1" s="136"/>
      <c r="T1" s="137"/>
      <c r="V1" s="138" t="s">
        <v>404</v>
      </c>
      <c r="W1" s="139"/>
      <c r="X1" s="140"/>
    </row>
    <row r="2" spans="1:26" x14ac:dyDescent="0.2">
      <c r="A2" s="1" t="str">
        <f>CombinedRAW!J6</f>
        <v>Forest</v>
      </c>
      <c r="B2" s="1" t="str">
        <f>CombinedRAW!K6</f>
        <v>Year</v>
      </c>
      <c r="C2" s="1" t="s">
        <v>328</v>
      </c>
      <c r="D2" s="1" t="s">
        <v>329</v>
      </c>
      <c r="E2" s="1" t="s">
        <v>328</v>
      </c>
      <c r="F2" s="1" t="s">
        <v>329</v>
      </c>
      <c r="G2" s="1" t="s">
        <v>328</v>
      </c>
      <c r="H2" s="1" t="s">
        <v>329</v>
      </c>
      <c r="I2" s="1" t="s">
        <v>328</v>
      </c>
      <c r="J2" s="1" t="s">
        <v>329</v>
      </c>
      <c r="K2" s="1" t="s">
        <v>328</v>
      </c>
      <c r="L2" s="1" t="s">
        <v>329</v>
      </c>
      <c r="M2" s="1" t="s">
        <v>402</v>
      </c>
      <c r="N2" s="1" t="s">
        <v>362</v>
      </c>
      <c r="O2" s="1"/>
      <c r="P2" s="1"/>
      <c r="R2" s="47" t="s">
        <v>3</v>
      </c>
      <c r="S2" s="1" t="s">
        <v>363</v>
      </c>
      <c r="T2" s="48" t="s">
        <v>364</v>
      </c>
      <c r="V2" s="53"/>
      <c r="W2" s="1" t="s">
        <v>328</v>
      </c>
      <c r="X2" s="48" t="s">
        <v>329</v>
      </c>
    </row>
    <row r="3" spans="1:26" x14ac:dyDescent="0.2">
      <c r="A3" t="s">
        <v>330</v>
      </c>
      <c r="B3">
        <v>2011</v>
      </c>
      <c r="C3">
        <f>CombinedRAW!L27</f>
        <v>1749.8100000000002</v>
      </c>
      <c r="D3">
        <f>CombinedRAW!M27</f>
        <v>10293</v>
      </c>
      <c r="E3">
        <f>CombinedRAW!N27</f>
        <v>95.738133333333337</v>
      </c>
      <c r="F3">
        <f>CombinedRAW!O27</f>
        <v>188.17266666666666</v>
      </c>
      <c r="G3">
        <f>CombinedRAW!P27</f>
        <v>46602.270000000004</v>
      </c>
      <c r="H3">
        <f>CombinedRAW!Q27</f>
        <v>87555</v>
      </c>
      <c r="I3">
        <f>CombinedRAW!R27</f>
        <v>2724.3936000000003</v>
      </c>
      <c r="J3">
        <f>CombinedRAW!S27</f>
        <v>6254.5039999999999</v>
      </c>
      <c r="K3">
        <f>CombinedRAW!T27</f>
        <v>240383.55125333334</v>
      </c>
      <c r="L3">
        <f>CombinedRAW!U27</f>
        <v>434629.69866666669</v>
      </c>
      <c r="M3">
        <f>SUM(C3,E3,G3,I3,K3)</f>
        <v>291555.7629866667</v>
      </c>
      <c r="N3">
        <f>SUM(D3,F3,H3,J3,L3)</f>
        <v>538920.37533333339</v>
      </c>
      <c r="R3" s="47" t="s">
        <v>9</v>
      </c>
      <c r="S3">
        <f>(C37/M37)*100</f>
        <v>3.0646460969751286</v>
      </c>
      <c r="T3" s="49">
        <f>(D37/N37)*100</f>
        <v>2.6234811256053034</v>
      </c>
      <c r="V3" s="47" t="s">
        <v>330</v>
      </c>
      <c r="W3">
        <f>M35/M37</f>
        <v>0.49317059294374521</v>
      </c>
      <c r="X3" s="49">
        <f>N35/N37</f>
        <v>0.63761034604746258</v>
      </c>
    </row>
    <row r="4" spans="1:26" ht="16" thickBot="1" x14ac:dyDescent="0.25">
      <c r="A4" t="s">
        <v>330</v>
      </c>
      <c r="B4">
        <v>2012</v>
      </c>
      <c r="C4">
        <f>CombinedRAW!L28</f>
        <v>206.04000000000002</v>
      </c>
      <c r="D4">
        <f>CombinedRAW!M28</f>
        <v>1212</v>
      </c>
      <c r="E4">
        <f>CombinedRAW!N28</f>
        <v>23.728000000000002</v>
      </c>
      <c r="F4">
        <f>CombinedRAW!O28</f>
        <v>382.16</v>
      </c>
      <c r="G4">
        <f>CombinedRAW!P28</f>
        <v>38631.040000000001</v>
      </c>
      <c r="H4">
        <f>CombinedRAW!Q28</f>
        <v>68725</v>
      </c>
      <c r="I4">
        <f>CombinedRAW!R28</f>
        <v>3262.0224499999999</v>
      </c>
      <c r="J4">
        <f>CombinedRAW!S28</f>
        <v>20284.380499999999</v>
      </c>
      <c r="K4">
        <f>CombinedRAW!T28</f>
        <v>263796.37485333334</v>
      </c>
      <c r="L4">
        <f>CombinedRAW!U28</f>
        <v>487280.63366666669</v>
      </c>
      <c r="M4">
        <f t="shared" ref="M4:M32" si="0">SUM(C4,E4,G4,I4,K4)</f>
        <v>305919.20530333335</v>
      </c>
      <c r="N4">
        <f t="shared" ref="N4:N32" si="1">SUM(D4,F4,H4,J4,L4)</f>
        <v>577884.17416666669</v>
      </c>
      <c r="R4" s="47" t="s">
        <v>53</v>
      </c>
      <c r="S4">
        <f>E37/M37*100</f>
        <v>1.2979760866319188</v>
      </c>
      <c r="T4" s="49">
        <f>F37/N37*100</f>
        <v>0.95057632650657298</v>
      </c>
      <c r="V4" s="50" t="s">
        <v>331</v>
      </c>
      <c r="W4" s="51">
        <f>M36/M37</f>
        <v>0.50682940705625479</v>
      </c>
      <c r="X4" s="52">
        <f>N36/N37</f>
        <v>0.36238965395253742</v>
      </c>
    </row>
    <row r="5" spans="1:26" ht="16" thickBot="1" x14ac:dyDescent="0.25">
      <c r="A5" t="s">
        <v>330</v>
      </c>
      <c r="B5">
        <v>2013</v>
      </c>
      <c r="C5">
        <f>CombinedRAW!L29</f>
        <v>238.85000000000002</v>
      </c>
      <c r="D5">
        <f>CombinedRAW!M29</f>
        <v>1405</v>
      </c>
      <c r="E5">
        <f>CombinedRAW!N29</f>
        <v>251.26666666666668</v>
      </c>
      <c r="F5">
        <f>CombinedRAW!O29</f>
        <v>440.83333333333337</v>
      </c>
      <c r="G5">
        <f>CombinedRAW!P29</f>
        <v>48919.03</v>
      </c>
      <c r="H5">
        <f>CombinedRAW!Q29</f>
        <v>92842</v>
      </c>
      <c r="I5">
        <f>CombinedRAW!R29</f>
        <v>2016.3513000000003</v>
      </c>
      <c r="J5">
        <f>CombinedRAW!S29</f>
        <v>5114.3903333333337</v>
      </c>
      <c r="K5">
        <f>CombinedRAW!T29</f>
        <v>270833.88138666668</v>
      </c>
      <c r="L5">
        <f>CombinedRAW!U29</f>
        <v>485197.64533333335</v>
      </c>
      <c r="M5">
        <f t="shared" si="0"/>
        <v>322259.37935333332</v>
      </c>
      <c r="N5">
        <f t="shared" si="1"/>
        <v>584999.86899999995</v>
      </c>
      <c r="R5" s="47" t="s">
        <v>31</v>
      </c>
      <c r="S5">
        <f>G37/M37*100</f>
        <v>40.536883784350273</v>
      </c>
      <c r="T5" s="49">
        <f>H37/N37*100</f>
        <v>33.807269355825454</v>
      </c>
    </row>
    <row r="6" spans="1:26" ht="16" thickBot="1" x14ac:dyDescent="0.25">
      <c r="A6" t="s">
        <v>330</v>
      </c>
      <c r="B6">
        <v>2014</v>
      </c>
      <c r="C6">
        <f>CombinedRAW!L30</f>
        <v>221.17000000000002</v>
      </c>
      <c r="D6">
        <f>CombinedRAW!M30</f>
        <v>1301</v>
      </c>
      <c r="E6">
        <f>CombinedRAW!N30</f>
        <v>105.98399999999999</v>
      </c>
      <c r="F6">
        <f>CombinedRAW!O30</f>
        <v>158.47999999999999</v>
      </c>
      <c r="G6">
        <f>CombinedRAW!P30</f>
        <v>43593.812516666672</v>
      </c>
      <c r="H6">
        <f>CombinedRAW!Q30</f>
        <v>93534.151666666672</v>
      </c>
      <c r="I6">
        <f>CombinedRAW!R30</f>
        <v>4785.5511000000006</v>
      </c>
      <c r="J6">
        <f>CombinedRAW!S30</f>
        <v>28773.545666666665</v>
      </c>
      <c r="K6">
        <f>CombinedRAW!T30</f>
        <v>238162.80064</v>
      </c>
      <c r="L6">
        <f>CombinedRAW!U30</f>
        <v>415208.14399999997</v>
      </c>
      <c r="M6">
        <f t="shared" si="0"/>
        <v>286869.31825666665</v>
      </c>
      <c r="N6">
        <f t="shared" si="1"/>
        <v>538975.32133333327</v>
      </c>
      <c r="R6" s="47" t="s">
        <v>42</v>
      </c>
      <c r="S6">
        <f>I37/M37*100</f>
        <v>12.390012140668571</v>
      </c>
      <c r="T6" s="49">
        <f>J37/N37*100</f>
        <v>10.457249792768218</v>
      </c>
      <c r="V6" s="138" t="s">
        <v>458</v>
      </c>
      <c r="W6" s="139"/>
      <c r="X6" s="139"/>
      <c r="Y6" s="140"/>
    </row>
    <row r="7" spans="1:26" ht="16" thickBot="1" x14ac:dyDescent="0.25">
      <c r="A7" t="s">
        <v>330</v>
      </c>
      <c r="B7">
        <v>2015</v>
      </c>
      <c r="C7">
        <f>CombinedRAW!L31</f>
        <v>681.53000000000009</v>
      </c>
      <c r="D7">
        <f>CombinedRAW!M31</f>
        <v>4009</v>
      </c>
      <c r="E7">
        <f>CombinedRAW!N31</f>
        <v>476.92613333333338</v>
      </c>
      <c r="F7">
        <f>CombinedRAW!O31</f>
        <v>703.15766666666673</v>
      </c>
      <c r="G7">
        <f>CombinedRAW!P31</f>
        <v>64093.84</v>
      </c>
      <c r="H7">
        <f>CombinedRAW!Q31</f>
        <v>115981</v>
      </c>
      <c r="I7">
        <f>CombinedRAW!R31</f>
        <v>6844.0337</v>
      </c>
      <c r="J7">
        <f>CombinedRAW!S31</f>
        <v>11789.192999999999</v>
      </c>
      <c r="K7">
        <f>CombinedRAW!T31</f>
        <v>231561.57936</v>
      </c>
      <c r="L7">
        <f>CombinedRAW!U31</f>
        <v>411732.10600000003</v>
      </c>
      <c r="M7">
        <f t="shared" si="0"/>
        <v>303657.90919333335</v>
      </c>
      <c r="N7">
        <f t="shared" si="1"/>
        <v>544214.45666666667</v>
      </c>
      <c r="R7" s="50" t="s">
        <v>20</v>
      </c>
      <c r="S7" s="51">
        <f>K37/M37*100</f>
        <v>42.710481891374116</v>
      </c>
      <c r="T7" s="52">
        <f>L37/N37*100</f>
        <v>52.161423399294463</v>
      </c>
      <c r="V7" s="53"/>
      <c r="W7" s="1" t="s">
        <v>459</v>
      </c>
      <c r="X7" s="1" t="s">
        <v>460</v>
      </c>
      <c r="Y7" s="48" t="s">
        <v>461</v>
      </c>
      <c r="Z7" s="74" t="s">
        <v>462</v>
      </c>
    </row>
    <row r="8" spans="1:26" x14ac:dyDescent="0.2">
      <c r="A8" t="s">
        <v>330</v>
      </c>
      <c r="B8">
        <v>2016</v>
      </c>
      <c r="C8">
        <f>CombinedRAW!L32</f>
        <v>1449.0800000000002</v>
      </c>
      <c r="D8">
        <f>CombinedRAW!M32</f>
        <v>8524</v>
      </c>
      <c r="E8">
        <f>CombinedRAW!N32</f>
        <v>148.8184</v>
      </c>
      <c r="F8">
        <f>CombinedRAW!O32</f>
        <v>729.27300000000002</v>
      </c>
      <c r="G8">
        <f>CombinedRAW!P32</f>
        <v>33630.400000000001</v>
      </c>
      <c r="H8">
        <f>CombinedRAW!Q32</f>
        <v>65821</v>
      </c>
      <c r="I8">
        <f>CombinedRAW!R32</f>
        <v>4944.1909500000002</v>
      </c>
      <c r="J8">
        <f>CombinedRAW!S32</f>
        <v>27789.145499999999</v>
      </c>
      <c r="K8">
        <f>CombinedRAW!T32</f>
        <v>193365.32368</v>
      </c>
      <c r="L8">
        <f>CombinedRAW!U32</f>
        <v>354975.32799999998</v>
      </c>
      <c r="M8">
        <f t="shared" si="0"/>
        <v>233537.81303000002</v>
      </c>
      <c r="N8">
        <f t="shared" si="1"/>
        <v>457838.74650000001</v>
      </c>
      <c r="V8" s="47" t="s">
        <v>330</v>
      </c>
      <c r="W8" s="77">
        <v>272502</v>
      </c>
      <c r="X8">
        <f>SUM(N3:N12)/10</f>
        <v>500940.99438333337</v>
      </c>
      <c r="Y8" s="78">
        <f>X8/W8*100</f>
        <v>183.83020835932703</v>
      </c>
      <c r="Z8" s="75" t="s">
        <v>463</v>
      </c>
    </row>
    <row r="9" spans="1:26" x14ac:dyDescent="0.2">
      <c r="A9" t="s">
        <v>330</v>
      </c>
      <c r="B9">
        <v>2017</v>
      </c>
      <c r="C9">
        <f>CombinedRAW!L33</f>
        <v>1666.3400000000001</v>
      </c>
      <c r="D9">
        <f>CombinedRAW!M33</f>
        <v>9802</v>
      </c>
      <c r="E9">
        <f>CombinedRAW!N33</f>
        <v>269.51413333333335</v>
      </c>
      <c r="F9">
        <f>CombinedRAW!O33</f>
        <v>328.64266666666663</v>
      </c>
      <c r="G9">
        <f>CombinedRAW!P33</f>
        <v>37422.870000000003</v>
      </c>
      <c r="H9">
        <f>CombinedRAW!Q33</f>
        <v>79608</v>
      </c>
      <c r="I9">
        <f>CombinedRAW!R33</f>
        <v>5472.4970000000003</v>
      </c>
      <c r="J9">
        <f>CombinedRAW!S33</f>
        <v>11255.263333333332</v>
      </c>
      <c r="K9">
        <f>CombinedRAW!T33</f>
        <v>186751.63439999998</v>
      </c>
      <c r="L9">
        <f>CombinedRAW!U33</f>
        <v>329775.86499999999</v>
      </c>
      <c r="M9">
        <f t="shared" si="0"/>
        <v>231582.85553333332</v>
      </c>
      <c r="N9">
        <f t="shared" si="1"/>
        <v>430769.77100000001</v>
      </c>
      <c r="V9" s="47" t="s">
        <v>331</v>
      </c>
      <c r="W9">
        <f>4501817/10</f>
        <v>450181.7</v>
      </c>
      <c r="X9">
        <f>SUM(N13:N22)/10</f>
        <v>284712.81046575576</v>
      </c>
      <c r="Y9" s="49">
        <f>X9/W9*100</f>
        <v>63.243976924374259</v>
      </c>
      <c r="Z9" s="75"/>
    </row>
    <row r="10" spans="1:26" ht="16" thickBot="1" x14ac:dyDescent="0.25">
      <c r="A10" t="s">
        <v>330</v>
      </c>
      <c r="B10">
        <v>2018</v>
      </c>
      <c r="C10">
        <f>CombinedRAW!L34</f>
        <v>331.67</v>
      </c>
      <c r="D10">
        <f>CombinedRAW!M34</f>
        <v>1951</v>
      </c>
      <c r="E10">
        <f>CombinedRAW!N34</f>
        <v>470.35306666666668</v>
      </c>
      <c r="F10">
        <f>CombinedRAW!O34</f>
        <v>516.44133333333332</v>
      </c>
      <c r="G10">
        <f>CombinedRAW!P34</f>
        <v>36550.39</v>
      </c>
      <c r="H10">
        <f>CombinedRAW!Q34</f>
        <v>79177</v>
      </c>
      <c r="I10">
        <f>CombinedRAW!R34</f>
        <v>5947.2480000000005</v>
      </c>
      <c r="J10">
        <f>CombinedRAW!S34</f>
        <v>25405.52</v>
      </c>
      <c r="K10">
        <f>CombinedRAW!T34</f>
        <v>131285.67616</v>
      </c>
      <c r="L10">
        <f>CombinedRAW!U34</f>
        <v>216196.636</v>
      </c>
      <c r="M10">
        <f t="shared" si="0"/>
        <v>174585.33722666668</v>
      </c>
      <c r="N10">
        <f t="shared" si="1"/>
        <v>323246.59733333334</v>
      </c>
      <c r="V10" s="50" t="s">
        <v>400</v>
      </c>
      <c r="W10" s="51">
        <f>SUM(W8:W9)</f>
        <v>722683.7</v>
      </c>
      <c r="X10" s="51">
        <f>SUM(X8:X9)</f>
        <v>785653.80484908912</v>
      </c>
      <c r="Y10" s="52">
        <f>X10/W10*100</f>
        <v>108.71337001915073</v>
      </c>
      <c r="Z10" s="76"/>
    </row>
    <row r="11" spans="1:26" x14ac:dyDescent="0.2">
      <c r="A11" t="s">
        <v>330</v>
      </c>
      <c r="B11">
        <v>2019</v>
      </c>
      <c r="C11">
        <f>CombinedRAW!L35</f>
        <v>343.57000000000005</v>
      </c>
      <c r="D11">
        <f>CombinedRAW!M35</f>
        <v>2021</v>
      </c>
      <c r="E11">
        <f>CombinedRAW!N35</f>
        <v>394.63919999999996</v>
      </c>
      <c r="F11">
        <f>CombinedRAW!O35</f>
        <v>452.04899999999998</v>
      </c>
      <c r="G11">
        <f>CombinedRAW!P35</f>
        <v>39018.567521666664</v>
      </c>
      <c r="H11">
        <f>CombinedRAW!Q35</f>
        <v>75589.422166666656</v>
      </c>
      <c r="I11">
        <f>CombinedRAW!R35</f>
        <v>5252.9678000000004</v>
      </c>
      <c r="J11">
        <f>CombinedRAW!S35</f>
        <v>11481.875333333333</v>
      </c>
      <c r="K11">
        <f>CombinedRAW!T35</f>
        <v>321230.02258666669</v>
      </c>
      <c r="L11">
        <f>CombinedRAW!U35</f>
        <v>553758.16533333331</v>
      </c>
      <c r="M11">
        <f t="shared" si="0"/>
        <v>366239.76710833336</v>
      </c>
      <c r="N11">
        <f t="shared" si="1"/>
        <v>643302.51183333329</v>
      </c>
    </row>
    <row r="12" spans="1:26" x14ac:dyDescent="0.2">
      <c r="A12" t="s">
        <v>330</v>
      </c>
      <c r="B12">
        <v>2020</v>
      </c>
      <c r="C12">
        <f>CombinedRAW!L36</f>
        <v>229.67000000000002</v>
      </c>
      <c r="D12">
        <f>CombinedRAW!M36</f>
        <v>1351</v>
      </c>
      <c r="E12">
        <f>CombinedRAW!N36</f>
        <v>137.96960000000001</v>
      </c>
      <c r="F12">
        <f>CombinedRAW!O36</f>
        <v>156.21199999999999</v>
      </c>
      <c r="G12">
        <f>CombinedRAW!P36</f>
        <v>26256.2611</v>
      </c>
      <c r="H12">
        <f>CombinedRAW!Q36</f>
        <v>50239.51</v>
      </c>
      <c r="I12">
        <f>CombinedRAW!R36</f>
        <v>6894.8702000000003</v>
      </c>
      <c r="J12">
        <f>CombinedRAW!S36</f>
        <v>22247.944666666666</v>
      </c>
      <c r="K12">
        <f>CombinedRAW!T36</f>
        <v>169039.45423999999</v>
      </c>
      <c r="L12">
        <f>CombinedRAW!U36</f>
        <v>295263.45400000003</v>
      </c>
      <c r="M12">
        <f t="shared" si="0"/>
        <v>202558.22514</v>
      </c>
      <c r="N12">
        <f t="shared" si="1"/>
        <v>369258.12066666671</v>
      </c>
    </row>
    <row r="13" spans="1:26" x14ac:dyDescent="0.2">
      <c r="A13" t="s">
        <v>331</v>
      </c>
      <c r="B13">
        <v>2011</v>
      </c>
      <c r="C13">
        <f>CombinedRAW!L37</f>
        <v>18630.475065341299</v>
      </c>
      <c r="D13">
        <f>CombinedRAW!M37</f>
        <v>18797.010068043601</v>
      </c>
      <c r="E13">
        <f>CombinedRAW!N37</f>
        <v>14483.2723294815</v>
      </c>
      <c r="F13">
        <f>CombinedRAW!O37</f>
        <v>14634.277888979501</v>
      </c>
      <c r="G13">
        <f>CombinedRAW!P37</f>
        <v>135379.86017985901</v>
      </c>
      <c r="H13">
        <f>CombinedRAW!Q37</f>
        <v>136931.434995485</v>
      </c>
      <c r="I13">
        <f>CombinedRAW!R37</f>
        <v>52051.303741058699</v>
      </c>
      <c r="J13">
        <f>CombinedRAW!S37</f>
        <v>53771.63</v>
      </c>
      <c r="K13">
        <f>CombinedRAW!T37</f>
        <v>14099.724674597799</v>
      </c>
      <c r="L13">
        <f>CombinedRAW!U37</f>
        <v>15005.05</v>
      </c>
      <c r="M13">
        <f t="shared" si="0"/>
        <v>234644.63599033828</v>
      </c>
      <c r="N13">
        <f t="shared" si="1"/>
        <v>239139.4029525081</v>
      </c>
    </row>
    <row r="14" spans="1:26" x14ac:dyDescent="0.2">
      <c r="A14" t="s">
        <v>331</v>
      </c>
      <c r="B14">
        <v>2012</v>
      </c>
      <c r="C14">
        <f>CombinedRAW!L38</f>
        <v>12855.241343052799</v>
      </c>
      <c r="D14">
        <f>CombinedRAW!M38</f>
        <v>12870.7699268739</v>
      </c>
      <c r="E14">
        <f>CombinedRAW!N38</f>
        <v>4337.8767442557801</v>
      </c>
      <c r="F14">
        <f>CombinedRAW!O38</f>
        <v>4419.5605416116296</v>
      </c>
      <c r="G14">
        <f>CombinedRAW!P38</f>
        <v>135729.72623894899</v>
      </c>
      <c r="H14">
        <f>CombinedRAW!Q38</f>
        <v>137538.94491196299</v>
      </c>
      <c r="I14">
        <f>CombinedRAW!R38</f>
        <v>50305.043447827898</v>
      </c>
      <c r="J14">
        <f>CombinedRAW!S38</f>
        <v>51743.5146271747</v>
      </c>
      <c r="K14">
        <f>CombinedRAW!T38</f>
        <v>8905.1018516831009</v>
      </c>
      <c r="L14">
        <f>CombinedRAW!U38</f>
        <v>9501</v>
      </c>
      <c r="M14">
        <f t="shared" si="0"/>
        <v>212132.98962576856</v>
      </c>
      <c r="N14">
        <f t="shared" si="1"/>
        <v>216073.79000762323</v>
      </c>
    </row>
    <row r="15" spans="1:26" x14ac:dyDescent="0.2">
      <c r="A15" t="s">
        <v>331</v>
      </c>
      <c r="B15">
        <v>2013</v>
      </c>
      <c r="C15">
        <f>CombinedRAW!L39</f>
        <v>12682.130012977001</v>
      </c>
      <c r="D15">
        <f>CombinedRAW!M39</f>
        <v>12940.747440732201</v>
      </c>
      <c r="E15">
        <f>CombinedRAW!N39</f>
        <v>15853.122100299201</v>
      </c>
      <c r="F15">
        <f>CombinedRAW!O39</f>
        <v>16097.192948865501</v>
      </c>
      <c r="G15">
        <f>CombinedRAW!P39</f>
        <v>191155.572467972</v>
      </c>
      <c r="H15">
        <f>CombinedRAW!Q39</f>
        <v>192935.75996857701</v>
      </c>
      <c r="I15">
        <f>CombinedRAW!R39</f>
        <v>71477.023199187301</v>
      </c>
      <c r="J15">
        <f>CombinedRAW!S39</f>
        <v>74115.245961356399</v>
      </c>
      <c r="K15">
        <f>CombinedRAW!T39</f>
        <v>13071.5004172557</v>
      </c>
      <c r="L15">
        <f>CombinedRAW!U39</f>
        <v>13476.2</v>
      </c>
      <c r="M15">
        <f t="shared" si="0"/>
        <v>304239.34819769114</v>
      </c>
      <c r="N15">
        <f t="shared" si="1"/>
        <v>309565.14631953114</v>
      </c>
    </row>
    <row r="16" spans="1:26" x14ac:dyDescent="0.2">
      <c r="A16" t="s">
        <v>331</v>
      </c>
      <c r="B16">
        <v>2014</v>
      </c>
      <c r="C16">
        <f>CombinedRAW!L40</f>
        <v>29941.309438873399</v>
      </c>
      <c r="D16">
        <f>CombinedRAW!M40</f>
        <v>30258.934438361099</v>
      </c>
      <c r="E16">
        <f>CombinedRAW!N40</f>
        <v>5708.0024813883701</v>
      </c>
      <c r="F16">
        <f>CombinedRAW!O40</f>
        <v>5932.4694240525196</v>
      </c>
      <c r="G16">
        <f>CombinedRAW!P40</f>
        <v>281137.31510453997</v>
      </c>
      <c r="H16">
        <f>CombinedRAW!Q40</f>
        <v>283375.10888408398</v>
      </c>
      <c r="I16">
        <f>CombinedRAW!R40</f>
        <v>61152.401405851102</v>
      </c>
      <c r="J16">
        <f>CombinedRAW!S40</f>
        <v>62129.08</v>
      </c>
      <c r="K16">
        <f>CombinedRAW!T40</f>
        <v>15256.635504161201</v>
      </c>
      <c r="L16">
        <f>CombinedRAW!U40</f>
        <v>16182.75</v>
      </c>
      <c r="M16">
        <f t="shared" si="0"/>
        <v>393195.66393481405</v>
      </c>
      <c r="N16">
        <f t="shared" si="1"/>
        <v>397878.3427464976</v>
      </c>
    </row>
    <row r="17" spans="1:14" x14ac:dyDescent="0.2">
      <c r="A17" t="s">
        <v>331</v>
      </c>
      <c r="B17">
        <v>2015</v>
      </c>
      <c r="C17">
        <f>CombinedRAW!L41</f>
        <v>22957.015192597701</v>
      </c>
      <c r="D17">
        <f>CombinedRAW!M41</f>
        <v>23124.868968016199</v>
      </c>
      <c r="E17">
        <f>CombinedRAW!N41</f>
        <v>5823.4180473841898</v>
      </c>
      <c r="F17">
        <f>CombinedRAW!O41</f>
        <v>5994.3654345837103</v>
      </c>
      <c r="G17">
        <f>CombinedRAW!P41</f>
        <v>215609.63191542399</v>
      </c>
      <c r="H17">
        <f>CombinedRAW!Q41</f>
        <v>219133.75132224799</v>
      </c>
      <c r="I17">
        <f>CombinedRAW!R41</f>
        <v>73252.307639179606</v>
      </c>
      <c r="J17">
        <f>CombinedRAW!S41</f>
        <v>74880.81</v>
      </c>
      <c r="K17">
        <f>CombinedRAW!T41</f>
        <v>13198.245569913001</v>
      </c>
      <c r="L17">
        <f>CombinedRAW!U41</f>
        <v>14105.45</v>
      </c>
      <c r="M17">
        <f t="shared" si="0"/>
        <v>330840.61836449848</v>
      </c>
      <c r="N17">
        <f t="shared" si="1"/>
        <v>337239.24572484795</v>
      </c>
    </row>
    <row r="18" spans="1:14" x14ac:dyDescent="0.2">
      <c r="A18" t="s">
        <v>331</v>
      </c>
      <c r="B18">
        <v>2016</v>
      </c>
      <c r="C18">
        <f>CombinedRAW!L42</f>
        <v>21214.056187147798</v>
      </c>
      <c r="D18">
        <f>CombinedRAW!M42</f>
        <v>21806.162732819299</v>
      </c>
      <c r="E18">
        <f>CombinedRAW!N42</f>
        <v>6841.2835573185903</v>
      </c>
      <c r="F18">
        <f>CombinedRAW!O42</f>
        <v>6928.5792415389697</v>
      </c>
      <c r="G18">
        <f>CombinedRAW!P42</f>
        <v>181604.03959462099</v>
      </c>
      <c r="H18">
        <f>CombinedRAW!Q42</f>
        <v>184531.94539102601</v>
      </c>
      <c r="I18">
        <f>CombinedRAW!R42</f>
        <v>78250.3546095575</v>
      </c>
      <c r="J18">
        <f>CombinedRAW!S42</f>
        <v>79754.67</v>
      </c>
      <c r="K18">
        <f>CombinedRAW!T42</f>
        <v>10635.023603052399</v>
      </c>
      <c r="L18">
        <f>CombinedRAW!U42</f>
        <v>11210.75</v>
      </c>
      <c r="M18">
        <f t="shared" si="0"/>
        <v>298544.75755169732</v>
      </c>
      <c r="N18">
        <f t="shared" si="1"/>
        <v>304232.10736538429</v>
      </c>
    </row>
    <row r="19" spans="1:14" x14ac:dyDescent="0.2">
      <c r="A19" t="s">
        <v>331</v>
      </c>
      <c r="B19">
        <v>2017</v>
      </c>
      <c r="C19">
        <f>CombinedRAW!L43</f>
        <v>16623.657584776502</v>
      </c>
      <c r="D19">
        <f>CombinedRAW!M43</f>
        <v>16825.082211600999</v>
      </c>
      <c r="E19">
        <f>CombinedRAW!N43</f>
        <v>3806.9303493395</v>
      </c>
      <c r="F19">
        <f>CombinedRAW!O43</f>
        <v>3944.2411080332399</v>
      </c>
      <c r="G19">
        <f>CombinedRAW!P43</f>
        <v>283894.97076624102</v>
      </c>
      <c r="H19">
        <f>CombinedRAW!Q43</f>
        <v>286475.91750234598</v>
      </c>
      <c r="I19">
        <f>CombinedRAW!R43</f>
        <v>73026.357198490499</v>
      </c>
      <c r="J19">
        <f>CombinedRAW!S43</f>
        <v>75871.33</v>
      </c>
      <c r="K19">
        <f>CombinedRAW!T43</f>
        <v>10123.8880921257</v>
      </c>
      <c r="L19">
        <f>CombinedRAW!U43</f>
        <v>10457.25</v>
      </c>
      <c r="M19">
        <f t="shared" si="0"/>
        <v>387475.80399097322</v>
      </c>
      <c r="N19">
        <f t="shared" si="1"/>
        <v>393573.82082198025</v>
      </c>
    </row>
    <row r="20" spans="1:14" x14ac:dyDescent="0.2">
      <c r="A20" t="s">
        <v>331</v>
      </c>
      <c r="B20">
        <v>2018</v>
      </c>
      <c r="C20">
        <f>CombinedRAW!L44</f>
        <v>7311.6785805396003</v>
      </c>
      <c r="D20">
        <f>CombinedRAW!M44</f>
        <v>7645.1052629532396</v>
      </c>
      <c r="E20">
        <f>CombinedRAW!N44</f>
        <v>2033.4639574949299</v>
      </c>
      <c r="F20">
        <f>CombinedRAW!O44</f>
        <v>2069.4091159772902</v>
      </c>
      <c r="G20">
        <f>CombinedRAW!P44</f>
        <v>129533.51671587399</v>
      </c>
      <c r="H20">
        <f>CombinedRAW!Q44</f>
        <v>131869.627169299</v>
      </c>
      <c r="I20">
        <f>CombinedRAW!R44</f>
        <v>47994.701975564298</v>
      </c>
      <c r="J20">
        <f>CombinedRAW!S44</f>
        <v>49279.040000000001</v>
      </c>
      <c r="K20">
        <f>CombinedRAW!T44</f>
        <v>7004.1102772313998</v>
      </c>
      <c r="L20">
        <f>CombinedRAW!U44</f>
        <v>7145.35</v>
      </c>
      <c r="M20">
        <f t="shared" si="0"/>
        <v>193877.47150670423</v>
      </c>
      <c r="N20">
        <f t="shared" si="1"/>
        <v>198008.53154822954</v>
      </c>
    </row>
    <row r="21" spans="1:14" x14ac:dyDescent="0.2">
      <c r="A21" t="s">
        <v>331</v>
      </c>
      <c r="B21">
        <v>2019</v>
      </c>
      <c r="C21">
        <f>CombinedRAW!L45</f>
        <v>8476.0113002647995</v>
      </c>
      <c r="D21">
        <f>CombinedRAW!M45</f>
        <v>8694.0868772775593</v>
      </c>
      <c r="E21">
        <f>CombinedRAW!N45</f>
        <v>6909.5224399170402</v>
      </c>
      <c r="F21">
        <f>CombinedRAW!O45</f>
        <v>7050.9043297314602</v>
      </c>
      <c r="G21">
        <f>CombinedRAW!P45</f>
        <v>162723.64387412701</v>
      </c>
      <c r="H21">
        <f>CombinedRAW!Q45</f>
        <v>167385.53396199</v>
      </c>
      <c r="I21">
        <f>CombinedRAW!R45</f>
        <v>79204.336872482498</v>
      </c>
      <c r="J21">
        <f>CombinedRAW!S45</f>
        <v>80244.439933613306</v>
      </c>
      <c r="K21">
        <f>CombinedRAW!T45</f>
        <v>9173.5484033563007</v>
      </c>
      <c r="L21">
        <f>CombinedRAW!U45</f>
        <v>9839</v>
      </c>
      <c r="M21">
        <f t="shared" si="0"/>
        <v>266487.06289014762</v>
      </c>
      <c r="N21">
        <f t="shared" si="1"/>
        <v>273213.96510261233</v>
      </c>
    </row>
    <row r="22" spans="1:14" x14ac:dyDescent="0.2">
      <c r="A22" t="s">
        <v>331</v>
      </c>
      <c r="B22">
        <v>2020</v>
      </c>
      <c r="C22">
        <f>CombinedRAW!L46</f>
        <v>11139.4205733252</v>
      </c>
      <c r="D22">
        <f>CombinedRAW!M46</f>
        <v>11283.024901479699</v>
      </c>
      <c r="E22">
        <f>CombinedRAW!N46</f>
        <v>3383.3839992325402</v>
      </c>
      <c r="F22">
        <f>CombinedRAW!O46</f>
        <v>3555.9690718954298</v>
      </c>
      <c r="G22">
        <f>CombinedRAW!P46</f>
        <v>103242.67745323</v>
      </c>
      <c r="H22">
        <f>CombinedRAW!Q46</f>
        <v>106830.872155876</v>
      </c>
      <c r="I22">
        <f>CombinedRAW!R46</f>
        <v>48182.333331378803</v>
      </c>
      <c r="J22">
        <f>CombinedRAW!S46</f>
        <v>49392.285939092202</v>
      </c>
      <c r="K22">
        <f>CombinedRAW!T46</f>
        <v>6678.1240765762996</v>
      </c>
      <c r="L22">
        <f>CombinedRAW!U46</f>
        <v>7141.6</v>
      </c>
      <c r="M22">
        <f t="shared" si="0"/>
        <v>172625.93943374284</v>
      </c>
      <c r="N22">
        <f t="shared" si="1"/>
        <v>178203.75206834334</v>
      </c>
    </row>
    <row r="23" spans="1:14" x14ac:dyDescent="0.2">
      <c r="A23" t="s">
        <v>401</v>
      </c>
      <c r="B23">
        <v>2011</v>
      </c>
      <c r="C23">
        <f>SUM(C3,C13)</f>
        <v>20380.285065341301</v>
      </c>
      <c r="D23">
        <f t="shared" ref="D23:L23" si="2">SUM(D3,D13)</f>
        <v>29090.010068043601</v>
      </c>
      <c r="E23">
        <f t="shared" si="2"/>
        <v>14579.010462814835</v>
      </c>
      <c r="F23">
        <f t="shared" si="2"/>
        <v>14822.450555646168</v>
      </c>
      <c r="G23">
        <f t="shared" si="2"/>
        <v>181982.130179859</v>
      </c>
      <c r="H23">
        <f t="shared" si="2"/>
        <v>224486.434995485</v>
      </c>
      <c r="I23">
        <f t="shared" si="2"/>
        <v>54775.697341058702</v>
      </c>
      <c r="J23">
        <f t="shared" si="2"/>
        <v>60026.133999999998</v>
      </c>
      <c r="K23">
        <f t="shared" si="2"/>
        <v>254483.27592793113</v>
      </c>
      <c r="L23">
        <f t="shared" si="2"/>
        <v>449634.74866666668</v>
      </c>
      <c r="M23">
        <f t="shared" si="0"/>
        <v>526200.39897700492</v>
      </c>
      <c r="N23">
        <f t="shared" si="1"/>
        <v>778059.77828584146</v>
      </c>
    </row>
    <row r="24" spans="1:14" x14ac:dyDescent="0.2">
      <c r="A24" t="s">
        <v>401</v>
      </c>
      <c r="B24">
        <v>2012</v>
      </c>
      <c r="C24">
        <f t="shared" ref="C24:L32" si="3">SUM(C4,C14)</f>
        <v>13061.2813430528</v>
      </c>
      <c r="D24">
        <f t="shared" si="3"/>
        <v>14082.7699268739</v>
      </c>
      <c r="E24">
        <f t="shared" si="3"/>
        <v>4361.6047442557801</v>
      </c>
      <c r="F24">
        <f t="shared" si="3"/>
        <v>4801.7205416116294</v>
      </c>
      <c r="G24">
        <f t="shared" si="3"/>
        <v>174360.766238949</v>
      </c>
      <c r="H24">
        <f t="shared" si="3"/>
        <v>206263.94491196299</v>
      </c>
      <c r="I24">
        <f t="shared" si="3"/>
        <v>53567.065897827895</v>
      </c>
      <c r="J24">
        <f t="shared" si="3"/>
        <v>72027.895127174706</v>
      </c>
      <c r="K24">
        <f t="shared" si="3"/>
        <v>272701.47670501645</v>
      </c>
      <c r="L24">
        <f t="shared" si="3"/>
        <v>496781.63366666669</v>
      </c>
      <c r="M24">
        <f t="shared" si="0"/>
        <v>518052.19492910191</v>
      </c>
      <c r="N24">
        <f t="shared" si="1"/>
        <v>793957.96417428995</v>
      </c>
    </row>
    <row r="25" spans="1:14" x14ac:dyDescent="0.2">
      <c r="A25" t="s">
        <v>401</v>
      </c>
      <c r="B25">
        <v>2013</v>
      </c>
      <c r="C25">
        <f t="shared" si="3"/>
        <v>12920.980012977001</v>
      </c>
      <c r="D25">
        <f t="shared" si="3"/>
        <v>14345.747440732201</v>
      </c>
      <c r="E25">
        <f t="shared" si="3"/>
        <v>16104.388766965867</v>
      </c>
      <c r="F25">
        <f t="shared" si="3"/>
        <v>16538.026282198833</v>
      </c>
      <c r="G25">
        <f t="shared" si="3"/>
        <v>240074.602467972</v>
      </c>
      <c r="H25">
        <f t="shared" si="3"/>
        <v>285777.75996857701</v>
      </c>
      <c r="I25">
        <f t="shared" si="3"/>
        <v>73493.374499187295</v>
      </c>
      <c r="J25">
        <f t="shared" si="3"/>
        <v>79229.636294689728</v>
      </c>
      <c r="K25">
        <f t="shared" si="3"/>
        <v>283905.38180392236</v>
      </c>
      <c r="L25">
        <f t="shared" si="3"/>
        <v>498673.84533333336</v>
      </c>
      <c r="M25">
        <f t="shared" si="0"/>
        <v>626498.72755102452</v>
      </c>
      <c r="N25">
        <f t="shared" si="1"/>
        <v>894565.01531953108</v>
      </c>
    </row>
    <row r="26" spans="1:14" x14ac:dyDescent="0.2">
      <c r="A26" t="s">
        <v>401</v>
      </c>
      <c r="B26">
        <v>2014</v>
      </c>
      <c r="C26">
        <f t="shared" si="3"/>
        <v>30162.479438873397</v>
      </c>
      <c r="D26">
        <f t="shared" si="3"/>
        <v>31559.934438361099</v>
      </c>
      <c r="E26">
        <f t="shared" si="3"/>
        <v>5813.9864813883705</v>
      </c>
      <c r="F26">
        <f t="shared" si="3"/>
        <v>6090.9494240525191</v>
      </c>
      <c r="G26">
        <f t="shared" si="3"/>
        <v>324731.12762120663</v>
      </c>
      <c r="H26">
        <f t="shared" si="3"/>
        <v>376909.26055075065</v>
      </c>
      <c r="I26">
        <f t="shared" si="3"/>
        <v>65937.952505851106</v>
      </c>
      <c r="J26">
        <f t="shared" si="3"/>
        <v>90902.62566666666</v>
      </c>
      <c r="K26">
        <f t="shared" si="3"/>
        <v>253419.43614416121</v>
      </c>
      <c r="L26">
        <f t="shared" si="3"/>
        <v>431390.89399999997</v>
      </c>
      <c r="M26">
        <f t="shared" si="0"/>
        <v>680064.9821914807</v>
      </c>
      <c r="N26">
        <f t="shared" si="1"/>
        <v>936853.66407983098</v>
      </c>
    </row>
    <row r="27" spans="1:14" x14ac:dyDescent="0.2">
      <c r="A27" t="s">
        <v>401</v>
      </c>
      <c r="B27">
        <v>2015</v>
      </c>
      <c r="C27">
        <f t="shared" si="3"/>
        <v>23638.545192597699</v>
      </c>
      <c r="D27">
        <f t="shared" si="3"/>
        <v>27133.868968016199</v>
      </c>
      <c r="E27">
        <f t="shared" si="3"/>
        <v>6300.3441807175232</v>
      </c>
      <c r="F27">
        <f t="shared" si="3"/>
        <v>6697.5231012503773</v>
      </c>
      <c r="G27">
        <f t="shared" si="3"/>
        <v>279703.47191542399</v>
      </c>
      <c r="H27">
        <f t="shared" si="3"/>
        <v>335114.75132224802</v>
      </c>
      <c r="I27">
        <f t="shared" si="3"/>
        <v>80096.341339179606</v>
      </c>
      <c r="J27">
        <f t="shared" si="3"/>
        <v>86670.002999999997</v>
      </c>
      <c r="K27">
        <f t="shared" si="3"/>
        <v>244759.82492991301</v>
      </c>
      <c r="L27">
        <f t="shared" si="3"/>
        <v>425837.55600000004</v>
      </c>
      <c r="M27">
        <f t="shared" si="0"/>
        <v>634498.52755783184</v>
      </c>
      <c r="N27">
        <f t="shared" si="1"/>
        <v>881453.70239151455</v>
      </c>
    </row>
    <row r="28" spans="1:14" x14ac:dyDescent="0.2">
      <c r="A28" t="s">
        <v>401</v>
      </c>
      <c r="B28">
        <v>2016</v>
      </c>
      <c r="C28">
        <f t="shared" si="3"/>
        <v>22663.1361871478</v>
      </c>
      <c r="D28">
        <f t="shared" si="3"/>
        <v>30330.162732819299</v>
      </c>
      <c r="E28">
        <f t="shared" si="3"/>
        <v>6990.1019573185904</v>
      </c>
      <c r="F28">
        <f t="shared" si="3"/>
        <v>7657.8522415389698</v>
      </c>
      <c r="G28">
        <f t="shared" si="3"/>
        <v>215234.43959462098</v>
      </c>
      <c r="H28">
        <f t="shared" si="3"/>
        <v>250352.94539102601</v>
      </c>
      <c r="I28">
        <f t="shared" si="3"/>
        <v>83194.545559557504</v>
      </c>
      <c r="J28">
        <f t="shared" si="3"/>
        <v>107543.8155</v>
      </c>
      <c r="K28">
        <f t="shared" si="3"/>
        <v>204000.3472830524</v>
      </c>
      <c r="L28">
        <f t="shared" si="3"/>
        <v>366186.07799999998</v>
      </c>
      <c r="M28">
        <f t="shared" si="0"/>
        <v>532082.57058169728</v>
      </c>
      <c r="N28">
        <f t="shared" si="1"/>
        <v>762070.85386538424</v>
      </c>
    </row>
    <row r="29" spans="1:14" x14ac:dyDescent="0.2">
      <c r="A29" t="s">
        <v>401</v>
      </c>
      <c r="B29">
        <v>2017</v>
      </c>
      <c r="C29">
        <f t="shared" si="3"/>
        <v>18289.997584776502</v>
      </c>
      <c r="D29">
        <f t="shared" si="3"/>
        <v>26627.082211600999</v>
      </c>
      <c r="E29">
        <f t="shared" si="3"/>
        <v>4076.4444826728331</v>
      </c>
      <c r="F29">
        <f t="shared" si="3"/>
        <v>4272.883774699907</v>
      </c>
      <c r="G29">
        <f t="shared" si="3"/>
        <v>321317.84076624102</v>
      </c>
      <c r="H29">
        <f t="shared" si="3"/>
        <v>366083.91750234598</v>
      </c>
      <c r="I29">
        <f t="shared" si="3"/>
        <v>78498.854198490502</v>
      </c>
      <c r="J29">
        <f t="shared" si="3"/>
        <v>87126.593333333338</v>
      </c>
      <c r="K29">
        <f t="shared" si="3"/>
        <v>196875.52249212569</v>
      </c>
      <c r="L29">
        <f t="shared" si="3"/>
        <v>340233.11499999999</v>
      </c>
      <c r="M29">
        <f t="shared" si="0"/>
        <v>619058.65952430654</v>
      </c>
      <c r="N29">
        <f t="shared" si="1"/>
        <v>824343.5918219802</v>
      </c>
    </row>
    <row r="30" spans="1:14" x14ac:dyDescent="0.2">
      <c r="A30" t="s">
        <v>401</v>
      </c>
      <c r="B30">
        <v>2018</v>
      </c>
      <c r="C30">
        <f t="shared" si="3"/>
        <v>7643.3485805396003</v>
      </c>
      <c r="D30">
        <f t="shared" si="3"/>
        <v>9596.1052629532387</v>
      </c>
      <c r="E30">
        <f t="shared" si="3"/>
        <v>2503.8170241615967</v>
      </c>
      <c r="F30">
        <f t="shared" si="3"/>
        <v>2585.8504493106234</v>
      </c>
      <c r="G30">
        <f t="shared" si="3"/>
        <v>166083.90671587398</v>
      </c>
      <c r="H30">
        <f t="shared" si="3"/>
        <v>211046.627169299</v>
      </c>
      <c r="I30">
        <f t="shared" si="3"/>
        <v>53941.949975564297</v>
      </c>
      <c r="J30">
        <f t="shared" si="3"/>
        <v>74684.56</v>
      </c>
      <c r="K30">
        <f t="shared" si="3"/>
        <v>138289.78643723141</v>
      </c>
      <c r="L30">
        <f t="shared" si="3"/>
        <v>223341.986</v>
      </c>
      <c r="M30">
        <f t="shared" si="0"/>
        <v>368462.80873337085</v>
      </c>
      <c r="N30">
        <f t="shared" si="1"/>
        <v>521255.12888156285</v>
      </c>
    </row>
    <row r="31" spans="1:14" x14ac:dyDescent="0.2">
      <c r="A31" t="s">
        <v>401</v>
      </c>
      <c r="B31">
        <v>2019</v>
      </c>
      <c r="C31">
        <f t="shared" si="3"/>
        <v>8819.5813002647992</v>
      </c>
      <c r="D31">
        <f t="shared" si="3"/>
        <v>10715.086877277559</v>
      </c>
      <c r="E31">
        <f t="shared" si="3"/>
        <v>7304.1616399170398</v>
      </c>
      <c r="F31">
        <f t="shared" si="3"/>
        <v>7502.9533297314601</v>
      </c>
      <c r="G31">
        <f t="shared" si="3"/>
        <v>201742.21139579368</v>
      </c>
      <c r="H31">
        <f t="shared" si="3"/>
        <v>242974.95612865666</v>
      </c>
      <c r="I31">
        <f t="shared" si="3"/>
        <v>84457.304672482496</v>
      </c>
      <c r="J31">
        <f t="shared" si="3"/>
        <v>91726.315266946636</v>
      </c>
      <c r="K31">
        <f t="shared" si="3"/>
        <v>330403.57099002297</v>
      </c>
      <c r="L31">
        <f t="shared" si="3"/>
        <v>563597.16533333331</v>
      </c>
      <c r="M31">
        <f t="shared" si="0"/>
        <v>632726.82999848097</v>
      </c>
      <c r="N31">
        <f t="shared" si="1"/>
        <v>916516.47693594568</v>
      </c>
    </row>
    <row r="32" spans="1:14" x14ac:dyDescent="0.2">
      <c r="A32" t="s">
        <v>401</v>
      </c>
      <c r="B32">
        <v>2020</v>
      </c>
      <c r="C32">
        <f t="shared" si="3"/>
        <v>11369.0905733252</v>
      </c>
      <c r="D32">
        <f t="shared" si="3"/>
        <v>12634.024901479699</v>
      </c>
      <c r="E32">
        <f t="shared" si="3"/>
        <v>3521.3535992325401</v>
      </c>
      <c r="F32">
        <f t="shared" si="3"/>
        <v>3712.1810718954298</v>
      </c>
      <c r="G32">
        <f t="shared" si="3"/>
        <v>129498.93855323001</v>
      </c>
      <c r="H32">
        <f t="shared" si="3"/>
        <v>157070.382155876</v>
      </c>
      <c r="I32">
        <f t="shared" si="3"/>
        <v>55077.2035313788</v>
      </c>
      <c r="J32">
        <f t="shared" si="3"/>
        <v>71640.230605758872</v>
      </c>
      <c r="K32">
        <f t="shared" si="3"/>
        <v>175717.57831657628</v>
      </c>
      <c r="L32">
        <f t="shared" si="3"/>
        <v>302405.054</v>
      </c>
      <c r="M32">
        <f t="shared" si="0"/>
        <v>375184.16457374283</v>
      </c>
      <c r="N32">
        <f t="shared" si="1"/>
        <v>547461.87273500999</v>
      </c>
    </row>
    <row r="34" spans="2:16" ht="16" thickBot="1" x14ac:dyDescent="0.25"/>
    <row r="35" spans="2:16" x14ac:dyDescent="0.2">
      <c r="B35" s="82" t="s">
        <v>406</v>
      </c>
      <c r="C35" s="85">
        <f>SUM(C3:C12)</f>
        <v>7117.7300000000005</v>
      </c>
      <c r="D35" s="85">
        <f t="shared" ref="D35:N35" si="4">SUM(D3:D12)</f>
        <v>41869</v>
      </c>
      <c r="E35" s="85">
        <f t="shared" si="4"/>
        <v>2374.9373333333333</v>
      </c>
      <c r="F35" s="85">
        <f t="shared" si="4"/>
        <v>4055.4216666666666</v>
      </c>
      <c r="G35" s="85">
        <f t="shared" si="4"/>
        <v>414718.48113833333</v>
      </c>
      <c r="H35" s="85">
        <f t="shared" si="4"/>
        <v>809072.08383333334</v>
      </c>
      <c r="I35" s="85">
        <f t="shared" si="4"/>
        <v>48144.126099999994</v>
      </c>
      <c r="J35" s="85">
        <f t="shared" si="4"/>
        <v>170395.76233333335</v>
      </c>
      <c r="K35" s="85">
        <f t="shared" si="4"/>
        <v>2246410.29856</v>
      </c>
      <c r="L35" s="85">
        <f t="shared" si="4"/>
        <v>3984017.676</v>
      </c>
      <c r="M35" s="85">
        <f t="shared" si="4"/>
        <v>2718765.5731316665</v>
      </c>
      <c r="N35" s="86">
        <f t="shared" si="4"/>
        <v>5009409.9438333334</v>
      </c>
      <c r="O35" s="9"/>
      <c r="P35" s="9"/>
    </row>
    <row r="36" spans="2:16" x14ac:dyDescent="0.2">
      <c r="B36" s="47" t="s">
        <v>405</v>
      </c>
      <c r="C36" s="9">
        <f>SUM(C13:C22)</f>
        <v>161830.99527889607</v>
      </c>
      <c r="D36" s="9">
        <f t="shared" ref="D36:N36" si="5">SUM(D13:D22)</f>
        <v>164245.79282815778</v>
      </c>
      <c r="E36" s="9">
        <f t="shared" si="5"/>
        <v>69180.276006111642</v>
      </c>
      <c r="F36" s="9">
        <f t="shared" si="5"/>
        <v>70626.969105269236</v>
      </c>
      <c r="G36" s="9">
        <f t="shared" si="5"/>
        <v>1820010.9543108367</v>
      </c>
      <c r="H36" s="9">
        <f t="shared" si="5"/>
        <v>1847008.8962628937</v>
      </c>
      <c r="I36" s="9">
        <f t="shared" si="5"/>
        <v>634896.16342057812</v>
      </c>
      <c r="J36" s="9">
        <f t="shared" si="5"/>
        <v>651182.04646123655</v>
      </c>
      <c r="K36" s="9">
        <f t="shared" si="5"/>
        <v>108145.90246995291</v>
      </c>
      <c r="L36" s="9">
        <f t="shared" si="5"/>
        <v>114064.40000000001</v>
      </c>
      <c r="M36" s="9">
        <f t="shared" si="5"/>
        <v>2794064.291486376</v>
      </c>
      <c r="N36" s="87">
        <f t="shared" si="5"/>
        <v>2847128.1046575578</v>
      </c>
      <c r="O36" s="9"/>
      <c r="P36" s="9"/>
    </row>
    <row r="37" spans="2:16" x14ac:dyDescent="0.2">
      <c r="B37" s="47" t="s">
        <v>401</v>
      </c>
      <c r="C37" s="9">
        <f>SUM(C23:C32)</f>
        <v>168948.72527889611</v>
      </c>
      <c r="D37" s="9">
        <f t="shared" ref="D37:N37" si="6">SUM(D23:D32)</f>
        <v>206114.79282815778</v>
      </c>
      <c r="E37" s="9">
        <f t="shared" si="6"/>
        <v>71555.213339444977</v>
      </c>
      <c r="F37" s="9">
        <f t="shared" si="6"/>
        <v>74682.390771935912</v>
      </c>
      <c r="G37" s="9">
        <f t="shared" si="6"/>
        <v>2234729.4354491704</v>
      </c>
      <c r="H37" s="9">
        <f t="shared" si="6"/>
        <v>2656080.980096228</v>
      </c>
      <c r="I37" s="9">
        <f t="shared" si="6"/>
        <v>683040.28952057823</v>
      </c>
      <c r="J37" s="9">
        <f t="shared" si="6"/>
        <v>821577.80879456992</v>
      </c>
      <c r="K37" s="9">
        <f t="shared" si="6"/>
        <v>2354556.2010299531</v>
      </c>
      <c r="L37" s="9">
        <f t="shared" si="6"/>
        <v>4098082.0760000004</v>
      </c>
      <c r="M37" s="9">
        <f t="shared" si="6"/>
        <v>5512829.8646180425</v>
      </c>
      <c r="N37" s="87">
        <f t="shared" si="6"/>
        <v>7856538.0484908912</v>
      </c>
      <c r="O37" s="9"/>
      <c r="P37" s="9"/>
    </row>
    <row r="38" spans="2:16" x14ac:dyDescent="0.2">
      <c r="B38" s="47" t="s">
        <v>464</v>
      </c>
      <c r="C38" s="9">
        <f>C35/10</f>
        <v>711.77300000000002</v>
      </c>
      <c r="D38" s="9">
        <f t="shared" ref="D38:N38" si="7">D35/10</f>
        <v>4186.8999999999996</v>
      </c>
      <c r="E38" s="9">
        <f t="shared" si="7"/>
        <v>237.49373333333332</v>
      </c>
      <c r="F38" s="9">
        <f t="shared" si="7"/>
        <v>405.54216666666667</v>
      </c>
      <c r="G38" s="9">
        <f t="shared" si="7"/>
        <v>41471.84811383333</v>
      </c>
      <c r="H38" s="9">
        <f t="shared" si="7"/>
        <v>80907.208383333331</v>
      </c>
      <c r="I38" s="9">
        <f t="shared" si="7"/>
        <v>4814.4126099999994</v>
      </c>
      <c r="J38" s="9">
        <f t="shared" si="7"/>
        <v>17039.576233333333</v>
      </c>
      <c r="K38" s="9">
        <f t="shared" si="7"/>
        <v>224641.02985600001</v>
      </c>
      <c r="L38" s="9">
        <f t="shared" si="7"/>
        <v>398401.76760000002</v>
      </c>
      <c r="M38" s="9">
        <f t="shared" si="7"/>
        <v>271876.55731316668</v>
      </c>
      <c r="N38" s="87">
        <f t="shared" si="7"/>
        <v>500940.99438333337</v>
      </c>
      <c r="O38" s="9"/>
      <c r="P38" s="9"/>
    </row>
    <row r="39" spans="2:16" x14ac:dyDescent="0.2">
      <c r="B39" s="47" t="s">
        <v>465</v>
      </c>
      <c r="C39" s="9">
        <f t="shared" ref="C39:N40" si="8">C36/10</f>
        <v>16183.099527889606</v>
      </c>
      <c r="D39" s="9">
        <f t="shared" si="8"/>
        <v>16424.579282815779</v>
      </c>
      <c r="E39" s="9">
        <f t="shared" si="8"/>
        <v>6918.0276006111644</v>
      </c>
      <c r="F39" s="9">
        <f t="shared" si="8"/>
        <v>7062.6969105269236</v>
      </c>
      <c r="G39" s="9">
        <f t="shared" si="8"/>
        <v>182001.09543108367</v>
      </c>
      <c r="H39" s="9">
        <f t="shared" si="8"/>
        <v>184700.88962628937</v>
      </c>
      <c r="I39" s="9">
        <f t="shared" si="8"/>
        <v>63489.616342057809</v>
      </c>
      <c r="J39" s="9">
        <f t="shared" si="8"/>
        <v>65118.204646123653</v>
      </c>
      <c r="K39" s="9">
        <f t="shared" si="8"/>
        <v>10814.590246995291</v>
      </c>
      <c r="L39" s="9">
        <f t="shared" si="8"/>
        <v>11406.44</v>
      </c>
      <c r="M39" s="9">
        <f t="shared" si="8"/>
        <v>279406.42914863757</v>
      </c>
      <c r="N39" s="87">
        <f t="shared" si="8"/>
        <v>284712.81046575576</v>
      </c>
      <c r="O39" s="9"/>
      <c r="P39" s="9"/>
    </row>
    <row r="40" spans="2:16" ht="16" thickBot="1" x14ac:dyDescent="0.25">
      <c r="B40" s="50" t="s">
        <v>466</v>
      </c>
      <c r="C40" s="88">
        <f t="shared" si="8"/>
        <v>16894.872527889609</v>
      </c>
      <c r="D40" s="88">
        <f t="shared" si="8"/>
        <v>20611.479282815777</v>
      </c>
      <c r="E40" s="88">
        <f t="shared" si="8"/>
        <v>7155.5213339444981</v>
      </c>
      <c r="F40" s="88">
        <f t="shared" si="8"/>
        <v>7468.2390771935916</v>
      </c>
      <c r="G40" s="88">
        <f t="shared" si="8"/>
        <v>223472.94354491704</v>
      </c>
      <c r="H40" s="88">
        <f t="shared" si="8"/>
        <v>265608.09800962277</v>
      </c>
      <c r="I40" s="88">
        <f t="shared" si="8"/>
        <v>68304.028952057823</v>
      </c>
      <c r="J40" s="88">
        <f t="shared" si="8"/>
        <v>82157.780879456986</v>
      </c>
      <c r="K40" s="88">
        <f t="shared" si="8"/>
        <v>235455.62010299531</v>
      </c>
      <c r="L40" s="88">
        <f t="shared" si="8"/>
        <v>409808.20760000002</v>
      </c>
      <c r="M40" s="88">
        <f t="shared" si="8"/>
        <v>551282.98646180425</v>
      </c>
      <c r="N40" s="89">
        <f t="shared" si="8"/>
        <v>785653.80484908912</v>
      </c>
      <c r="O40" s="9"/>
      <c r="P40" s="9"/>
    </row>
    <row r="41" spans="2:16" x14ac:dyDescent="0.2">
      <c r="B41" s="82" t="s">
        <v>470</v>
      </c>
      <c r="C41" s="92">
        <v>17.838924207115603</v>
      </c>
      <c r="D41" s="92">
        <v>17.838924207115603</v>
      </c>
      <c r="E41" s="92">
        <v>7.2482630476972245</v>
      </c>
      <c r="F41" s="92">
        <v>7.2482630476972245</v>
      </c>
      <c r="G41" s="92">
        <v>7.5127699239900023</v>
      </c>
      <c r="H41" s="92">
        <v>7.5127699239900023</v>
      </c>
      <c r="I41" s="92">
        <v>3.5039594399192802</v>
      </c>
      <c r="J41" s="92">
        <v>3.5039594399192802</v>
      </c>
      <c r="K41" s="92">
        <v>5.6698981506487991</v>
      </c>
      <c r="L41" s="92">
        <v>5.6698981506487991</v>
      </c>
      <c r="M41" s="85"/>
      <c r="N41" s="86"/>
      <c r="O41" s="9"/>
      <c r="P41" s="9"/>
    </row>
    <row r="42" spans="2:16" x14ac:dyDescent="0.2">
      <c r="B42" s="47" t="s">
        <v>471</v>
      </c>
      <c r="C42" s="24">
        <v>13.87795857029659</v>
      </c>
      <c r="D42" s="24">
        <v>13.87795857029659</v>
      </c>
      <c r="E42" s="24">
        <v>8.2144152616387451</v>
      </c>
      <c r="F42" s="24">
        <v>8.2144152616387451</v>
      </c>
      <c r="G42" s="24">
        <v>6.9667653078431115</v>
      </c>
      <c r="H42" s="24">
        <v>6.9667653078431115</v>
      </c>
      <c r="I42" s="24">
        <v>3.6388192662382819</v>
      </c>
      <c r="J42" s="24">
        <v>3.6388192662382819</v>
      </c>
      <c r="K42" s="24">
        <v>5.727799502761135</v>
      </c>
      <c r="L42" s="24">
        <v>5.727799502761135</v>
      </c>
      <c r="M42" s="9"/>
      <c r="N42" s="87"/>
      <c r="O42" s="9"/>
      <c r="P42" s="9"/>
    </row>
    <row r="43" spans="2:16" ht="16" thickBot="1" x14ac:dyDescent="0.25">
      <c r="B43" s="50" t="s">
        <v>472</v>
      </c>
      <c r="C43" s="93">
        <v>0.55000000000000004</v>
      </c>
      <c r="D43" s="93">
        <v>0.55000000000000004</v>
      </c>
      <c r="E43" s="93">
        <v>0.6</v>
      </c>
      <c r="F43" s="93">
        <v>0.6</v>
      </c>
      <c r="G43" s="93">
        <v>0.56999999999999995</v>
      </c>
      <c r="H43" s="93">
        <v>0.56999999999999995</v>
      </c>
      <c r="I43" s="93">
        <v>0.52</v>
      </c>
      <c r="J43" s="93">
        <v>0.52</v>
      </c>
      <c r="K43" s="93">
        <v>0.53</v>
      </c>
      <c r="L43" s="93">
        <v>0.53</v>
      </c>
      <c r="M43" s="88"/>
      <c r="N43" s="89"/>
      <c r="O43" s="9"/>
      <c r="P43" s="9"/>
    </row>
    <row r="44" spans="2:16" x14ac:dyDescent="0.2">
      <c r="B44" s="82" t="s">
        <v>473</v>
      </c>
      <c r="C44" s="85">
        <f>C38*C41*C43</f>
        <v>6983.4955298192126</v>
      </c>
      <c r="D44" s="85">
        <f t="shared" ref="D44:L44" si="9">D38*D41*D43</f>
        <v>41079.385469524772</v>
      </c>
      <c r="E44" s="85">
        <f t="shared" si="9"/>
        <v>1032.850230827795</v>
      </c>
      <c r="F44" s="85">
        <f t="shared" si="9"/>
        <v>1763.6857805598413</v>
      </c>
      <c r="G44" s="85">
        <f t="shared" si="9"/>
        <v>177594.01832507644</v>
      </c>
      <c r="H44" s="85">
        <f t="shared" si="9"/>
        <v>346467.22781249008</v>
      </c>
      <c r="I44" s="85">
        <f t="shared" si="9"/>
        <v>8772.1433864874762</v>
      </c>
      <c r="J44" s="85">
        <f t="shared" si="9"/>
        <v>31047.111677406527</v>
      </c>
      <c r="K44" s="85">
        <f t="shared" si="9"/>
        <v>675056.63266239944</v>
      </c>
      <c r="L44" s="85">
        <f t="shared" si="9"/>
        <v>1197215.6460251401</v>
      </c>
      <c r="M44" s="85">
        <f>SUM(C44,E44,G44,I44,K44)</f>
        <v>869439.14013461035</v>
      </c>
      <c r="N44" s="86">
        <f>SUM(D44,F44,H44,J44,L44)</f>
        <v>1617573.0567651214</v>
      </c>
      <c r="O44" s="9"/>
      <c r="P44" s="9"/>
    </row>
    <row r="45" spans="2:16" x14ac:dyDescent="0.2">
      <c r="B45" s="47" t="s">
        <v>474</v>
      </c>
      <c r="C45" s="9">
        <f>C39*C42*C43</f>
        <v>123523.61163287105</v>
      </c>
      <c r="D45" s="9">
        <f t="shared" ref="D45:L45" si="10">D39*D42*D43</f>
        <v>125366.79695180799</v>
      </c>
      <c r="E45" s="9">
        <f t="shared" si="10"/>
        <v>34096.530901739046</v>
      </c>
      <c r="F45" s="9">
        <f t="shared" si="10"/>
        <v>34809.555174096706</v>
      </c>
      <c r="G45" s="9">
        <f t="shared" si="10"/>
        <v>722736.58305406873</v>
      </c>
      <c r="H45" s="9">
        <f t="shared" si="10"/>
        <v>733457.61760042969</v>
      </c>
      <c r="I45" s="9">
        <f t="shared" si="10"/>
        <v>120134.16435880956</v>
      </c>
      <c r="J45" s="9">
        <f t="shared" si="10"/>
        <v>123215.75637756422</v>
      </c>
      <c r="K45" s="9">
        <f t="shared" si="10"/>
        <v>32830.216458831674</v>
      </c>
      <c r="L45" s="9">
        <f t="shared" si="10"/>
        <v>34626.914720945606</v>
      </c>
      <c r="M45" s="9">
        <f>SUM(C45,E45,G45,I45,K45)</f>
        <v>1033321.1064063201</v>
      </c>
      <c r="N45" s="87">
        <f t="shared" ref="N45:N46" si="11">SUM(D45,F45,H45,J45,L45)</f>
        <v>1051476.6408248441</v>
      </c>
      <c r="O45" s="9"/>
      <c r="P45" s="9"/>
    </row>
    <row r="46" spans="2:16" x14ac:dyDescent="0.2">
      <c r="B46" s="47" t="s">
        <v>475</v>
      </c>
      <c r="C46" s="9">
        <f>C44+C45</f>
        <v>130507.10716269026</v>
      </c>
      <c r="D46" s="9">
        <f t="shared" ref="D46:L46" si="12">D44+D45</f>
        <v>166446.18242133275</v>
      </c>
      <c r="E46" s="9">
        <f t="shared" si="12"/>
        <v>35129.381132566843</v>
      </c>
      <c r="F46" s="9">
        <f t="shared" si="12"/>
        <v>36573.240954656547</v>
      </c>
      <c r="G46" s="9">
        <f t="shared" si="12"/>
        <v>900330.60137914517</v>
      </c>
      <c r="H46" s="9">
        <f t="shared" si="12"/>
        <v>1079924.8454129198</v>
      </c>
      <c r="I46" s="9">
        <f t="shared" si="12"/>
        <v>128906.30774529703</v>
      </c>
      <c r="J46" s="9">
        <f t="shared" si="12"/>
        <v>154262.86805497075</v>
      </c>
      <c r="K46" s="9">
        <f t="shared" si="12"/>
        <v>707886.84912123112</v>
      </c>
      <c r="L46" s="9">
        <f t="shared" si="12"/>
        <v>1231842.5607460856</v>
      </c>
      <c r="M46" s="9">
        <f>SUM(C46,E46,G46,I46,K46)</f>
        <v>1902760.2465409304</v>
      </c>
      <c r="N46" s="90">
        <f t="shared" si="11"/>
        <v>2669049.6975899655</v>
      </c>
      <c r="O46" s="102"/>
      <c r="P46" s="102"/>
    </row>
    <row r="47" spans="2:16" ht="16" thickBot="1" x14ac:dyDescent="0.25">
      <c r="B47" s="50" t="s">
        <v>476</v>
      </c>
      <c r="C47" s="88">
        <f>C46/(6/16)</f>
        <v>348018.95243384066</v>
      </c>
      <c r="D47" s="88">
        <f t="shared" ref="D47:L47" si="13">D46/(6/16)</f>
        <v>443856.48645688733</v>
      </c>
      <c r="E47" s="88">
        <f t="shared" si="13"/>
        <v>93678.349686844915</v>
      </c>
      <c r="F47" s="88">
        <f t="shared" si="13"/>
        <v>97528.642545750787</v>
      </c>
      <c r="G47" s="88">
        <f t="shared" si="13"/>
        <v>2400881.6036777203</v>
      </c>
      <c r="H47" s="88">
        <f t="shared" si="13"/>
        <v>2879799.5877677859</v>
      </c>
      <c r="I47" s="88">
        <f t="shared" si="13"/>
        <v>343750.15398745873</v>
      </c>
      <c r="J47" s="88">
        <f t="shared" si="13"/>
        <v>411367.64814658865</v>
      </c>
      <c r="K47" s="88">
        <f t="shared" si="13"/>
        <v>1887698.264323283</v>
      </c>
      <c r="L47" s="88">
        <f t="shared" si="13"/>
        <v>3284913.4953228948</v>
      </c>
      <c r="M47" s="88">
        <f>SUM(C47,E47,G47,I47,K47)</f>
        <v>5074027.3241091482</v>
      </c>
      <c r="N47" s="91">
        <f t="shared" ref="N47" si="14">SUM(D47,F47,H47,J47,L47)</f>
        <v>7117465.8602399081</v>
      </c>
      <c r="O47" s="102"/>
      <c r="P47" s="102"/>
    </row>
    <row r="48" spans="2:16" x14ac:dyDescent="0.2">
      <c r="B48" s="82" t="s">
        <v>478</v>
      </c>
      <c r="C48" s="92">
        <f>'Resale Values'!E21</f>
        <v>40.491666667500006</v>
      </c>
      <c r="D48" s="92">
        <f>C48</f>
        <v>40.491666667500006</v>
      </c>
      <c r="E48" s="92">
        <f>'Resale Values'!E22</f>
        <v>19.991111110999999</v>
      </c>
      <c r="F48" s="92">
        <f>E48</f>
        <v>19.991111110999999</v>
      </c>
      <c r="G48" s="92">
        <f>'Resale Values'!E23</f>
        <v>21.956666666666667</v>
      </c>
      <c r="H48" s="92">
        <f>G48</f>
        <v>21.956666666666667</v>
      </c>
      <c r="I48" s="92">
        <f>'Resale Values'!E24</f>
        <v>10.491666666666667</v>
      </c>
      <c r="J48" s="92">
        <f>I48</f>
        <v>10.491666666666667</v>
      </c>
      <c r="K48" s="92">
        <f>'Resale Values'!E25</f>
        <v>27.583333333999995</v>
      </c>
      <c r="L48" s="92">
        <f>K48</f>
        <v>27.583333333999995</v>
      </c>
      <c r="M48" s="85"/>
      <c r="N48" s="86"/>
      <c r="O48" s="9"/>
      <c r="P48" s="9"/>
    </row>
    <row r="49" spans="1:24" ht="16" thickBot="1" x14ac:dyDescent="0.25">
      <c r="B49" s="50" t="s">
        <v>479</v>
      </c>
      <c r="C49" s="88">
        <f>C48*C46</f>
        <v>5284450.2809713567</v>
      </c>
      <c r="D49" s="88">
        <f t="shared" ref="D49:L49" si="15">D48*D46</f>
        <v>6739683.336682505</v>
      </c>
      <c r="E49" s="88">
        <f t="shared" si="15"/>
        <v>702275.36148181069</v>
      </c>
      <c r="F49" s="88">
        <f t="shared" si="15"/>
        <v>731139.72361391468</v>
      </c>
      <c r="G49" s="88">
        <f t="shared" si="15"/>
        <v>19768258.90428143</v>
      </c>
      <c r="H49" s="88">
        <f t="shared" si="15"/>
        <v>23711549.855783008</v>
      </c>
      <c r="I49" s="88">
        <f t="shared" si="15"/>
        <v>1352442.012094408</v>
      </c>
      <c r="J49" s="88">
        <f t="shared" si="15"/>
        <v>1618474.5906767349</v>
      </c>
      <c r="K49" s="88">
        <f t="shared" si="15"/>
        <v>19525878.92206588</v>
      </c>
      <c r="L49" s="88">
        <f t="shared" si="15"/>
        <v>33978323.968067415</v>
      </c>
      <c r="M49" s="88">
        <f>SUM(C49,E49,G49,I49,K49)</f>
        <v>46633305.480894886</v>
      </c>
      <c r="N49" s="91">
        <f>SUM(D49,F49,H49,J49,L49)</f>
        <v>66779171.474823579</v>
      </c>
      <c r="O49" s="102"/>
      <c r="P49" s="102"/>
    </row>
    <row r="50" spans="1:24" ht="16" thickBot="1" x14ac:dyDescent="0.25"/>
    <row r="51" spans="1:24" ht="17" thickBot="1" x14ac:dyDescent="0.25">
      <c r="A51" s="82" t="s">
        <v>484</v>
      </c>
      <c r="B51" s="103"/>
      <c r="C51" s="103" t="s">
        <v>9</v>
      </c>
      <c r="D51" s="103" t="s">
        <v>9</v>
      </c>
      <c r="E51" s="103" t="s">
        <v>53</v>
      </c>
      <c r="F51" s="103" t="s">
        <v>53</v>
      </c>
      <c r="G51" s="103" t="s">
        <v>31</v>
      </c>
      <c r="H51" s="103" t="s">
        <v>31</v>
      </c>
      <c r="I51" s="103" t="s">
        <v>42</v>
      </c>
      <c r="J51" s="103" t="s">
        <v>42</v>
      </c>
      <c r="K51" s="103" t="s">
        <v>20</v>
      </c>
      <c r="L51" s="103" t="s">
        <v>20</v>
      </c>
      <c r="M51" s="125" t="s">
        <v>403</v>
      </c>
      <c r="N51" s="118"/>
      <c r="O51" s="73"/>
      <c r="P51" s="73"/>
      <c r="R51" s="135" t="s">
        <v>366</v>
      </c>
      <c r="S51" s="136"/>
      <c r="T51" s="137"/>
      <c r="V51" s="138" t="s">
        <v>404</v>
      </c>
      <c r="W51" s="139"/>
      <c r="X51" s="140"/>
    </row>
    <row r="52" spans="1:24" x14ac:dyDescent="0.2">
      <c r="A52" s="47"/>
      <c r="B52" s="1"/>
      <c r="C52" s="1" t="s">
        <v>328</v>
      </c>
      <c r="D52" s="1" t="s">
        <v>329</v>
      </c>
      <c r="E52" s="1" t="s">
        <v>328</v>
      </c>
      <c r="F52" s="1" t="s">
        <v>329</v>
      </c>
      <c r="G52" s="1" t="s">
        <v>328</v>
      </c>
      <c r="H52" s="1" t="s">
        <v>329</v>
      </c>
      <c r="I52" s="1" t="s">
        <v>328</v>
      </c>
      <c r="J52" s="1" t="s">
        <v>329</v>
      </c>
      <c r="K52" s="1" t="s">
        <v>328</v>
      </c>
      <c r="L52" s="1" t="s">
        <v>329</v>
      </c>
      <c r="M52" s="1" t="s">
        <v>402</v>
      </c>
      <c r="N52" s="48" t="s">
        <v>362</v>
      </c>
      <c r="O52" s="1"/>
      <c r="P52" s="1"/>
      <c r="R52" s="47" t="s">
        <v>3</v>
      </c>
      <c r="S52" s="1" t="s">
        <v>363</v>
      </c>
      <c r="T52" s="48" t="s">
        <v>364</v>
      </c>
      <c r="V52" s="53"/>
      <c r="W52" s="1" t="s">
        <v>328</v>
      </c>
      <c r="X52" s="48" t="s">
        <v>329</v>
      </c>
    </row>
    <row r="53" spans="1:24" x14ac:dyDescent="0.2">
      <c r="A53" s="53"/>
      <c r="B53">
        <v>2011</v>
      </c>
      <c r="C53" s="9">
        <f t="shared" ref="C53:C62" si="16">(((C3*C$41)+(C13*C$42))*C$43)/(6/16)</f>
        <v>424992.61063395132</v>
      </c>
      <c r="D53" s="9">
        <f t="shared" ref="D53:L53" si="17">(((D3*D$41)+(D13*D$42))*D$43)/(6/16)</f>
        <v>651904.25495594356</v>
      </c>
      <c r="E53" s="9">
        <f t="shared" si="17"/>
        <v>191464.87749737359</v>
      </c>
      <c r="F53" s="9">
        <f t="shared" si="17"/>
        <v>194521.53699309166</v>
      </c>
      <c r="G53" s="9">
        <f t="shared" si="17"/>
        <v>1965773.2055055785</v>
      </c>
      <c r="H53" s="9">
        <f t="shared" si="17"/>
        <v>2449859.6071934886</v>
      </c>
      <c r="I53" s="9">
        <f t="shared" si="17"/>
        <v>275879.34616120433</v>
      </c>
      <c r="J53" s="9">
        <f t="shared" si="17"/>
        <v>301712.00322133763</v>
      </c>
      <c r="K53" s="9">
        <f t="shared" si="17"/>
        <v>2040444.3834647594</v>
      </c>
      <c r="L53" s="9">
        <f t="shared" si="17"/>
        <v>3604356.2202307335</v>
      </c>
      <c r="M53" s="9">
        <f>SUM(C53,E53,G53,I53,K53)</f>
        <v>4898554.4232628671</v>
      </c>
      <c r="N53" s="87">
        <f>SUM(D53,F53,H53,J53,L53)</f>
        <v>7202353.622594595</v>
      </c>
    </row>
    <row r="54" spans="1:24" x14ac:dyDescent="0.2">
      <c r="A54" s="53"/>
      <c r="B54">
        <v>2012</v>
      </c>
      <c r="C54" s="9">
        <f t="shared" si="16"/>
        <v>267050.72344673763</v>
      </c>
      <c r="D54" s="9">
        <f t="shared" ref="D54:L54" si="18">(((D4*D$41)+(D14*D$42))*D$43)/(6/16)</f>
        <v>293686.48899626575</v>
      </c>
      <c r="E54" s="9">
        <f t="shared" si="18"/>
        <v>57288.172346749168</v>
      </c>
      <c r="F54" s="9">
        <f t="shared" si="18"/>
        <v>62518.562830494309</v>
      </c>
      <c r="G54" s="9">
        <f t="shared" si="18"/>
        <v>1878451.3604424912</v>
      </c>
      <c r="H54" s="9">
        <f t="shared" si="18"/>
        <v>2241265.3276326563</v>
      </c>
      <c r="I54" s="9">
        <f t="shared" si="18"/>
        <v>269680.25849275838</v>
      </c>
      <c r="J54" s="9">
        <f t="shared" si="18"/>
        <v>359647.17632360081</v>
      </c>
      <c r="K54" s="9">
        <f t="shared" si="18"/>
        <v>2186010.0384534569</v>
      </c>
      <c r="L54" s="9">
        <f t="shared" si="18"/>
        <v>3981715.2932724035</v>
      </c>
      <c r="M54" s="9">
        <f t="shared" ref="M54:M73" si="19">SUM(C54,E54,G54,I54,K54)</f>
        <v>4658480.553182194</v>
      </c>
      <c r="N54" s="87">
        <f t="shared" ref="N54:N73" si="20">SUM(D54,F54,H54,J54,L54)</f>
        <v>6938832.8490554206</v>
      </c>
    </row>
    <row r="55" spans="1:24" x14ac:dyDescent="0.2">
      <c r="A55" s="53"/>
      <c r="B55">
        <v>2013</v>
      </c>
      <c r="C55" s="9">
        <f t="shared" si="16"/>
        <v>264385.58952678303</v>
      </c>
      <c r="D55" s="9">
        <f t="shared" ref="D55:L55" si="21">(((D5*D$41)+(D15*D$42))*D$43)/(6/16)</f>
        <v>300160.43986448745</v>
      </c>
      <c r="E55" s="9">
        <f t="shared" si="21"/>
        <v>211272.60003270124</v>
      </c>
      <c r="F55" s="9">
        <f t="shared" si="21"/>
        <v>216678.88542223608</v>
      </c>
      <c r="G55" s="9">
        <f t="shared" si="21"/>
        <v>2582865.2105075927</v>
      </c>
      <c r="H55" s="9">
        <f t="shared" si="21"/>
        <v>3103290.8916012514</v>
      </c>
      <c r="I55" s="9">
        <f t="shared" si="21"/>
        <v>370457.95943158353</v>
      </c>
      <c r="J55" s="9">
        <f t="shared" si="21"/>
        <v>398822.80701686861</v>
      </c>
      <c r="K55" s="9">
        <f t="shared" si="21"/>
        <v>2276132.992273937</v>
      </c>
      <c r="L55" s="9">
        <f t="shared" si="21"/>
        <v>3997203.7544690021</v>
      </c>
      <c r="M55" s="9">
        <f t="shared" si="19"/>
        <v>5705114.3517725971</v>
      </c>
      <c r="N55" s="87">
        <f t="shared" si="20"/>
        <v>8016156.7783738459</v>
      </c>
    </row>
    <row r="56" spans="1:24" x14ac:dyDescent="0.2">
      <c r="A56" s="53"/>
      <c r="B56">
        <v>2014</v>
      </c>
      <c r="C56" s="9">
        <f t="shared" si="16"/>
        <v>615222.20730667107</v>
      </c>
      <c r="D56" s="9">
        <f t="shared" ref="D56:L56" si="22">(((D6*D$41)+(D16*D$42))*D$43)/(6/16)</f>
        <v>649939.66240185185</v>
      </c>
      <c r="E56" s="9">
        <f t="shared" si="22"/>
        <v>76249.764171896953</v>
      </c>
      <c r="F56" s="9">
        <f t="shared" si="22"/>
        <v>79808.755366306068</v>
      </c>
      <c r="G56" s="9">
        <f t="shared" si="22"/>
        <v>3474914.5252797622</v>
      </c>
      <c r="H56" s="9">
        <f t="shared" si="22"/>
        <v>4068900.8275644723</v>
      </c>
      <c r="I56" s="9">
        <f t="shared" si="22"/>
        <v>331816.73319864727</v>
      </c>
      <c r="J56" s="9">
        <f t="shared" si="22"/>
        <v>453298.32462210354</v>
      </c>
      <c r="K56" s="9">
        <f t="shared" si="22"/>
        <v>2032014.0246480189</v>
      </c>
      <c r="L56" s="9">
        <f t="shared" si="22"/>
        <v>3458256.2684205621</v>
      </c>
      <c r="M56" s="9">
        <f t="shared" si="19"/>
        <v>6530217.2546049962</v>
      </c>
      <c r="N56" s="87">
        <f t="shared" si="20"/>
        <v>8710203.8383752964</v>
      </c>
    </row>
    <row r="57" spans="1:24" x14ac:dyDescent="0.2">
      <c r="A57" s="53"/>
      <c r="B57">
        <v>2015</v>
      </c>
      <c r="C57" s="9">
        <f t="shared" si="16"/>
        <v>485106.25937460986</v>
      </c>
      <c r="D57" s="9">
        <f t="shared" ref="D57:L57" si="23">(((D7*D$41)+(D17*D$42))*D$43)/(6/16)</f>
        <v>575581.92358772235</v>
      </c>
      <c r="E57" s="9">
        <f t="shared" si="23"/>
        <v>82068.576243290096</v>
      </c>
      <c r="F57" s="9">
        <f t="shared" si="23"/>
        <v>86939.00582670272</v>
      </c>
      <c r="G57" s="9">
        <f t="shared" si="23"/>
        <v>3015108.4452379434</v>
      </c>
      <c r="H57" s="9">
        <f t="shared" si="23"/>
        <v>3644947.8172663343</v>
      </c>
      <c r="I57" s="9">
        <f t="shared" si="23"/>
        <v>402872.59975608689</v>
      </c>
      <c r="J57" s="9">
        <f t="shared" si="23"/>
        <v>435117.40230525978</v>
      </c>
      <c r="K57" s="9">
        <f t="shared" si="23"/>
        <v>1962452.1646486411</v>
      </c>
      <c r="L57" s="9">
        <f t="shared" si="23"/>
        <v>3413584.844827279</v>
      </c>
      <c r="M57" s="9">
        <f t="shared" si="19"/>
        <v>5947608.0452605709</v>
      </c>
      <c r="N57" s="87">
        <f t="shared" si="20"/>
        <v>8156170.9938132968</v>
      </c>
    </row>
    <row r="58" spans="1:24" x14ac:dyDescent="0.2">
      <c r="A58" s="53"/>
      <c r="B58">
        <v>2016</v>
      </c>
      <c r="C58" s="9">
        <f t="shared" si="16"/>
        <v>469711.47103940143</v>
      </c>
      <c r="D58" s="9">
        <f t="shared" ref="D58:L58" si="24">(((D8*D$41)+(D18*D$42))*D$43)/(6/16)</f>
        <v>666869.88562284224</v>
      </c>
      <c r="E58" s="9">
        <f t="shared" si="24"/>
        <v>91641.310355157533</v>
      </c>
      <c r="F58" s="9">
        <f t="shared" si="24"/>
        <v>99520.303361207058</v>
      </c>
      <c r="G58" s="9">
        <f t="shared" si="24"/>
        <v>2307132.2743048626</v>
      </c>
      <c r="H58" s="9">
        <f t="shared" si="24"/>
        <v>2705734.9524490368</v>
      </c>
      <c r="I58" s="9">
        <f t="shared" si="24"/>
        <v>418860.89092674857</v>
      </c>
      <c r="J58" s="9">
        <f t="shared" si="24"/>
        <v>537451.01761241525</v>
      </c>
      <c r="K58" s="9">
        <f t="shared" si="24"/>
        <v>1635618.1233074004</v>
      </c>
      <c r="L58" s="9">
        <f t="shared" si="24"/>
        <v>2935333.4627606054</v>
      </c>
      <c r="M58" s="9">
        <f t="shared" si="19"/>
        <v>4922964.0699335709</v>
      </c>
      <c r="N58" s="87">
        <f t="shared" si="20"/>
        <v>6944909.6218061075</v>
      </c>
    </row>
    <row r="59" spans="1:24" x14ac:dyDescent="0.2">
      <c r="A59" s="53"/>
      <c r="B59">
        <v>2017</v>
      </c>
      <c r="C59" s="9">
        <f t="shared" si="16"/>
        <v>381961.278177028</v>
      </c>
      <c r="D59" s="9">
        <f t="shared" ref="D59:L59" si="25">(((D9*D$41)+(D19*D$42))*D$43)/(6/16)</f>
        <v>598920.56246378389</v>
      </c>
      <c r="E59" s="9">
        <f t="shared" si="25"/>
        <v>53160.345752131601</v>
      </c>
      <c r="F59" s="9">
        <f t="shared" si="25"/>
        <v>55650.756560172536</v>
      </c>
      <c r="G59" s="9">
        <f t="shared" si="25"/>
        <v>3433648.1493283701</v>
      </c>
      <c r="H59" s="9">
        <f t="shared" si="25"/>
        <v>3942708.3489792352</v>
      </c>
      <c r="I59" s="9">
        <f t="shared" si="25"/>
        <v>395068.43728233554</v>
      </c>
      <c r="J59" s="9">
        <f t="shared" si="25"/>
        <v>437521.12707643007</v>
      </c>
      <c r="K59" s="9">
        <f t="shared" si="25"/>
        <v>1578481.824742673</v>
      </c>
      <c r="L59" s="9">
        <f t="shared" si="25"/>
        <v>2727298.8724651979</v>
      </c>
      <c r="M59" s="9">
        <f t="shared" si="19"/>
        <v>5842320.0352825383</v>
      </c>
      <c r="N59" s="87">
        <f t="shared" si="20"/>
        <v>7762099.6675448194</v>
      </c>
    </row>
    <row r="60" spans="1:24" x14ac:dyDescent="0.2">
      <c r="A60" s="53"/>
      <c r="B60">
        <v>2018</v>
      </c>
      <c r="C60" s="9">
        <f t="shared" si="16"/>
        <v>157502.1190040138</v>
      </c>
      <c r="D60" s="9">
        <f t="shared" ref="D60:L60" si="26">(((D10*D$41)+(D20*D$42))*D$43)/(6/16)</f>
        <v>206656.55300825924</v>
      </c>
      <c r="E60" s="9">
        <f t="shared" si="26"/>
        <v>32180.736190287582</v>
      </c>
      <c r="F60" s="9">
        <f t="shared" si="26"/>
        <v>33187.661532098689</v>
      </c>
      <c r="G60" s="9">
        <f t="shared" si="26"/>
        <v>1789076.9073649806</v>
      </c>
      <c r="H60" s="9">
        <f t="shared" si="26"/>
        <v>2300585.8585494119</v>
      </c>
      <c r="I60" s="9">
        <f t="shared" si="26"/>
        <v>271069.70730276871</v>
      </c>
      <c r="J60" s="9">
        <f t="shared" si="26"/>
        <v>372094.5721012486</v>
      </c>
      <c r="K60" s="9">
        <f t="shared" si="26"/>
        <v>1108752.2999189862</v>
      </c>
      <c r="L60" s="9">
        <f t="shared" si="26"/>
        <v>1790325.9215180569</v>
      </c>
      <c r="M60" s="9">
        <f t="shared" si="19"/>
        <v>3358581.7697810363</v>
      </c>
      <c r="N60" s="87">
        <f t="shared" si="20"/>
        <v>4702850.5667090751</v>
      </c>
    </row>
    <row r="61" spans="1:24" x14ac:dyDescent="0.2">
      <c r="A61" s="53"/>
      <c r="B61">
        <v>2019</v>
      </c>
      <c r="C61" s="9">
        <f t="shared" si="16"/>
        <v>181512.69085587634</v>
      </c>
      <c r="D61" s="9">
        <f t="shared" ref="D61:L61" si="27">(((D11*D$41)+(D21*D$42))*D$43)/(6/16)</f>
        <v>229839.34352426356</v>
      </c>
      <c r="E61" s="9">
        <f t="shared" si="27"/>
        <v>95389.016498596335</v>
      </c>
      <c r="F61" s="9">
        <f t="shared" si="27"/>
        <v>97913.001915118875</v>
      </c>
      <c r="G61" s="9">
        <f t="shared" si="27"/>
        <v>2168728.3353422941</v>
      </c>
      <c r="H61" s="9">
        <f t="shared" si="27"/>
        <v>2635712.9360693893</v>
      </c>
      <c r="I61" s="9">
        <f t="shared" si="27"/>
        <v>425174.81495371088</v>
      </c>
      <c r="J61" s="9">
        <f t="shared" si="27"/>
        <v>460688.16144158406</v>
      </c>
      <c r="K61" s="9">
        <f t="shared" si="27"/>
        <v>2648425.2031988422</v>
      </c>
      <c r="L61" s="9">
        <f t="shared" si="27"/>
        <v>4517166.279797432</v>
      </c>
      <c r="M61" s="9">
        <f t="shared" si="19"/>
        <v>5519230.0608493201</v>
      </c>
      <c r="N61" s="87">
        <f t="shared" si="20"/>
        <v>7941319.7227477878</v>
      </c>
    </row>
    <row r="62" spans="1:24" x14ac:dyDescent="0.2">
      <c r="A62" s="53"/>
      <c r="B62">
        <v>2020</v>
      </c>
      <c r="C62" s="9">
        <f t="shared" si="16"/>
        <v>232744.57497333511</v>
      </c>
      <c r="D62" s="9">
        <f t="shared" ref="D62:L62" si="28">(((D12*D$41)+(D22*D$42))*D$43)/(6/16)</f>
        <v>265005.75014345406</v>
      </c>
      <c r="E62" s="9">
        <f t="shared" si="28"/>
        <v>46068.097780265081</v>
      </c>
      <c r="F62" s="9">
        <f t="shared" si="28"/>
        <v>48547.955650080105</v>
      </c>
      <c r="G62" s="9">
        <f t="shared" si="28"/>
        <v>1393117.6234633315</v>
      </c>
      <c r="H62" s="9">
        <f t="shared" si="28"/>
        <v>1704989.3103725852</v>
      </c>
      <c r="I62" s="9">
        <f t="shared" si="28"/>
        <v>276620.79236874403</v>
      </c>
      <c r="J62" s="9">
        <f t="shared" si="28"/>
        <v>357323.88974503847</v>
      </c>
      <c r="K62" s="9">
        <f t="shared" si="28"/>
        <v>1408651.5885761122</v>
      </c>
      <c r="L62" s="9">
        <f t="shared" si="28"/>
        <v>2423894.0354676768</v>
      </c>
      <c r="M62" s="9">
        <f t="shared" si="19"/>
        <v>3357202.6771617876</v>
      </c>
      <c r="N62" s="87">
        <f t="shared" si="20"/>
        <v>4799760.9413788347</v>
      </c>
    </row>
    <row r="63" spans="1:24" ht="16" thickBot="1" x14ac:dyDescent="0.25">
      <c r="A63" s="53"/>
      <c r="B63" s="6" t="s">
        <v>365</v>
      </c>
      <c r="C63" s="9">
        <f>AVERAGE(C53:C62)</f>
        <v>348018.95243384078</v>
      </c>
      <c r="D63" s="9">
        <f t="shared" ref="D63:N63" si="29">AVERAGE(D53:D62)</f>
        <v>443856.48645688745</v>
      </c>
      <c r="E63" s="9">
        <f t="shared" si="29"/>
        <v>93678.349686844929</v>
      </c>
      <c r="F63" s="9">
        <f t="shared" si="29"/>
        <v>97528.642545750801</v>
      </c>
      <c r="G63" s="9">
        <f t="shared" si="29"/>
        <v>2400881.6036777208</v>
      </c>
      <c r="H63" s="9">
        <f t="shared" si="29"/>
        <v>2879799.5877677859</v>
      </c>
      <c r="I63" s="9">
        <f t="shared" si="29"/>
        <v>343750.15398745879</v>
      </c>
      <c r="J63" s="9">
        <f t="shared" si="29"/>
        <v>411367.6481465887</v>
      </c>
      <c r="K63" s="9">
        <f t="shared" si="29"/>
        <v>1887698.2643232825</v>
      </c>
      <c r="L63" s="9">
        <f t="shared" si="29"/>
        <v>3284913.4953228948</v>
      </c>
      <c r="M63" s="9">
        <f t="shared" si="29"/>
        <v>5074027.3241091482</v>
      </c>
      <c r="N63" s="90">
        <f t="shared" si="29"/>
        <v>7117465.8602399081</v>
      </c>
    </row>
    <row r="64" spans="1:24" x14ac:dyDescent="0.2">
      <c r="A64" s="82" t="s">
        <v>483</v>
      </c>
      <c r="B64" s="83">
        <v>2011</v>
      </c>
      <c r="C64" s="85">
        <f t="shared" ref="C64:L64" si="30">(((C3*C$41)+(C13*C$42))*C$43)*C$48</f>
        <v>6453247.1722277151</v>
      </c>
      <c r="D64" s="85">
        <f t="shared" si="30"/>
        <v>9898758.6715503782</v>
      </c>
      <c r="E64" s="85">
        <f t="shared" si="30"/>
        <v>1435348.3649639995</v>
      </c>
      <c r="F64" s="85">
        <f t="shared" si="30"/>
        <v>1458263.1223167719</v>
      </c>
      <c r="G64" s="85">
        <f t="shared" si="30"/>
        <v>16185685.130831556</v>
      </c>
      <c r="H64" s="85">
        <f t="shared" si="30"/>
        <v>20171531.540729389</v>
      </c>
      <c r="I64" s="85">
        <f t="shared" si="30"/>
        <v>1085412.8025529883</v>
      </c>
      <c r="J64" s="85">
        <f t="shared" si="30"/>
        <v>1187048.1626739504</v>
      </c>
      <c r="K64" s="85">
        <f t="shared" si="30"/>
        <v>21105846.591973715</v>
      </c>
      <c r="L64" s="85">
        <f t="shared" si="30"/>
        <v>37282559.653912731</v>
      </c>
      <c r="M64" s="85">
        <f t="shared" si="19"/>
        <v>46265540.062549978</v>
      </c>
      <c r="N64" s="86">
        <f t="shared" si="20"/>
        <v>69998161.151183218</v>
      </c>
    </row>
    <row r="65" spans="1:14" x14ac:dyDescent="0.2">
      <c r="A65" s="53"/>
      <c r="B65">
        <v>2012</v>
      </c>
      <c r="C65" s="9">
        <f t="shared" ref="C65:L65" si="31">(((C4*C$41)+(C14*C$42))*C$43)*C$48</f>
        <v>4054998.3289200105</v>
      </c>
      <c r="D65" s="9">
        <f t="shared" si="31"/>
        <v>4459445.7814444508</v>
      </c>
      <c r="E65" s="9">
        <f t="shared" si="31"/>
        <v>429470.33202374255</v>
      </c>
      <c r="F65" s="9">
        <f t="shared" si="31"/>
        <v>468680.82601666736</v>
      </c>
      <c r="G65" s="9">
        <f t="shared" si="31"/>
        <v>15466698.889043363</v>
      </c>
      <c r="H65" s="9">
        <f t="shared" si="31"/>
        <v>18454018.391395383</v>
      </c>
      <c r="I65" s="9">
        <f t="shared" si="31"/>
        <v>1061023.2670074464</v>
      </c>
      <c r="J65" s="9">
        <f t="shared" si="31"/>
        <v>1414986.859348167</v>
      </c>
      <c r="K65" s="9">
        <f t="shared" si="31"/>
        <v>22611541.335799444</v>
      </c>
      <c r="L65" s="9">
        <f t="shared" si="31"/>
        <v>41185867.565781847</v>
      </c>
      <c r="M65" s="9">
        <f t="shared" si="19"/>
        <v>43623732.152794003</v>
      </c>
      <c r="N65" s="87">
        <f t="shared" si="20"/>
        <v>65982999.423986509</v>
      </c>
    </row>
    <row r="66" spans="1:14" x14ac:dyDescent="0.2">
      <c r="A66" s="53"/>
      <c r="B66">
        <v>2013</v>
      </c>
      <c r="C66" s="9">
        <f t="shared" ref="C66:L66" si="32">(((C5*C$41)+(C15*C$42))*C$43)*C$48</f>
        <v>4014529.9360533673</v>
      </c>
      <c r="D66" s="9">
        <f t="shared" si="32"/>
        <v>4557748.6791611277</v>
      </c>
      <c r="E66" s="9">
        <f t="shared" si="32"/>
        <v>1583840.2582363472</v>
      </c>
      <c r="F66" s="9">
        <f t="shared" si="32"/>
        <v>1624369.3777063349</v>
      </c>
      <c r="G66" s="9">
        <f t="shared" si="32"/>
        <v>21266666.427016892</v>
      </c>
      <c r="H66" s="9">
        <f t="shared" si="32"/>
        <v>25551721.378721803</v>
      </c>
      <c r="I66" s="9">
        <f t="shared" si="32"/>
        <v>1457520.5341386364</v>
      </c>
      <c r="J66" s="9">
        <f t="shared" si="32"/>
        <v>1569118.4813569926</v>
      </c>
      <c r="K66" s="9">
        <f t="shared" si="32"/>
        <v>23543750.639402565</v>
      </c>
      <c r="L66" s="9">
        <f t="shared" si="32"/>
        <v>41346076.336288035</v>
      </c>
      <c r="M66" s="9">
        <f t="shared" si="19"/>
        <v>51866307.794847801</v>
      </c>
      <c r="N66" s="87">
        <f t="shared" si="20"/>
        <v>74649034.253234297</v>
      </c>
    </row>
    <row r="67" spans="1:14" x14ac:dyDescent="0.2">
      <c r="A67" s="53"/>
      <c r="B67">
        <v>2014</v>
      </c>
      <c r="C67" s="9">
        <f t="shared" ref="C67:L67" si="33">(((C6*C$41)+(C16*C$42))*C$43)*C$48</f>
        <v>9341764.7042644918</v>
      </c>
      <c r="D67" s="9">
        <f t="shared" si="33"/>
        <v>9868927.5614862256</v>
      </c>
      <c r="E67" s="9">
        <f t="shared" si="33"/>
        <v>571619.06540547707</v>
      </c>
      <c r="F67" s="9">
        <f t="shared" si="33"/>
        <v>598299.63605941576</v>
      </c>
      <c r="G67" s="9">
        <f t="shared" si="33"/>
        <v>28611577.472522244</v>
      </c>
      <c r="H67" s="9">
        <f t="shared" si="33"/>
        <v>33502312.188958976</v>
      </c>
      <c r="I67" s="9">
        <f t="shared" si="33"/>
        <v>1305491.459678428</v>
      </c>
      <c r="J67" s="9">
        <f t="shared" si="33"/>
        <v>1783445.5959350888</v>
      </c>
      <c r="K67" s="9">
        <f t="shared" si="33"/>
        <v>21018645.067960944</v>
      </c>
      <c r="L67" s="9">
        <f t="shared" si="33"/>
        <v>35771338.277339749</v>
      </c>
      <c r="M67" s="9">
        <f t="shared" si="19"/>
        <v>60849097.769831583</v>
      </c>
      <c r="N67" s="87">
        <f t="shared" si="20"/>
        <v>81524323.259779453</v>
      </c>
    </row>
    <row r="68" spans="1:14" x14ac:dyDescent="0.2">
      <c r="A68" s="53"/>
      <c r="B68">
        <v>2015</v>
      </c>
      <c r="C68" s="9">
        <f t="shared" ref="C68:L68" si="34">(((C7*C$41)+(C17*C$42))*C$43)*C$48</f>
        <v>7366035.357342938</v>
      </c>
      <c r="D68" s="9">
        <f t="shared" si="34"/>
        <v>8739851.7711571921</v>
      </c>
      <c r="E68" s="9">
        <f t="shared" si="34"/>
        <v>615240.75990044523</v>
      </c>
      <c r="F68" s="9">
        <f t="shared" si="34"/>
        <v>651752.74701055884</v>
      </c>
      <c r="G68" s="9">
        <f t="shared" si="34"/>
        <v>24825649.160977915</v>
      </c>
      <c r="H68" s="9">
        <f t="shared" si="34"/>
        <v>30011589.090416681</v>
      </c>
      <c r="I68" s="9">
        <f t="shared" si="34"/>
        <v>1585051.8846653544</v>
      </c>
      <c r="J68" s="9">
        <f t="shared" si="34"/>
        <v>1711915.0296947565</v>
      </c>
      <c r="K68" s="9">
        <f t="shared" si="34"/>
        <v>20299114.578574993</v>
      </c>
      <c r="L68" s="9">
        <f t="shared" si="34"/>
        <v>35309268.239535555</v>
      </c>
      <c r="M68" s="9">
        <f t="shared" si="19"/>
        <v>54691091.741461642</v>
      </c>
      <c r="N68" s="87">
        <f t="shared" si="20"/>
        <v>76424376.87781474</v>
      </c>
    </row>
    <row r="69" spans="1:14" x14ac:dyDescent="0.2">
      <c r="A69" s="53"/>
      <c r="B69">
        <v>2016</v>
      </c>
      <c r="C69" s="9">
        <f t="shared" ref="C69:L69" si="35">(((C8*C$41)+(C18*C$42))*C$43)*C$48</f>
        <v>7132275.1182106975</v>
      </c>
      <c r="D69" s="9">
        <f t="shared" si="35"/>
        <v>10126002.419712743</v>
      </c>
      <c r="E69" s="9">
        <f t="shared" si="35"/>
        <v>687004.35662534588</v>
      </c>
      <c r="F69" s="9">
        <f t="shared" si="35"/>
        <v>746070.54086036875</v>
      </c>
      <c r="G69" s="9">
        <f t="shared" si="35"/>
        <v>18996350.363557663</v>
      </c>
      <c r="H69" s="9">
        <f t="shared" si="35"/>
        <v>22278345.164727256</v>
      </c>
      <c r="I69" s="9">
        <f t="shared" si="35"/>
        <v>1647955.8177399265</v>
      </c>
      <c r="J69" s="9">
        <f t="shared" si="35"/>
        <v>2114533.8474188461</v>
      </c>
      <c r="K69" s="9">
        <f t="shared" si="35"/>
        <v>16918424.963369824</v>
      </c>
      <c r="L69" s="9">
        <f t="shared" si="35"/>
        <v>30362355.506163843</v>
      </c>
      <c r="M69" s="9">
        <f t="shared" si="19"/>
        <v>45382010.619503453</v>
      </c>
      <c r="N69" s="87">
        <f t="shared" si="20"/>
        <v>65627307.478883058</v>
      </c>
    </row>
    <row r="70" spans="1:14" x14ac:dyDescent="0.2">
      <c r="A70" s="53"/>
      <c r="B70">
        <v>2017</v>
      </c>
      <c r="C70" s="9">
        <f t="shared" ref="C70:L70" si="36">(((C9*C$41)+(C19*C$42))*C$43)*C$48</f>
        <v>5799843.2834386732</v>
      </c>
      <c r="D70" s="9">
        <f t="shared" si="36"/>
        <v>9094234.4158481825</v>
      </c>
      <c r="E70" s="9">
        <f t="shared" si="36"/>
        <v>398525.39198626485</v>
      </c>
      <c r="F70" s="9">
        <f t="shared" si="36"/>
        <v>417195.17167710798</v>
      </c>
      <c r="G70" s="9">
        <f t="shared" si="36"/>
        <v>28271800.449532468</v>
      </c>
      <c r="H70" s="9">
        <f t="shared" si="36"/>
        <v>32463274.868407778</v>
      </c>
      <c r="I70" s="9">
        <f t="shared" si="36"/>
        <v>1554347.382932689</v>
      </c>
      <c r="J70" s="9">
        <f t="shared" si="36"/>
        <v>1721372.1843413296</v>
      </c>
      <c r="K70" s="9">
        <f t="shared" si="36"/>
        <v>16327421.37507664</v>
      </c>
      <c r="L70" s="9">
        <f t="shared" si="36"/>
        <v>28210497.712743711</v>
      </c>
      <c r="M70" s="9">
        <f t="shared" si="19"/>
        <v>52351937.882966727</v>
      </c>
      <c r="N70" s="87">
        <f t="shared" si="20"/>
        <v>71906574.353018105</v>
      </c>
    </row>
    <row r="71" spans="1:14" x14ac:dyDescent="0.2">
      <c r="A71" s="53"/>
      <c r="B71">
        <v>2018</v>
      </c>
      <c r="C71" s="9">
        <f t="shared" ref="C71:L71" si="37">(((C10*C$41)+(C20*C$42))*C$43)*C$48</f>
        <v>2391571.2383007919</v>
      </c>
      <c r="D71" s="9">
        <f t="shared" si="37"/>
        <v>3137950.597149367</v>
      </c>
      <c r="E71" s="9">
        <f t="shared" si="37"/>
        <v>241248.25230518167</v>
      </c>
      <c r="F71" s="9">
        <f t="shared" si="37"/>
        <v>248796.83595091701</v>
      </c>
      <c r="G71" s="9">
        <f t="shared" si="37"/>
        <v>14730811.986016409</v>
      </c>
      <c r="H71" s="9">
        <f t="shared" si="37"/>
        <v>18942448.812831219</v>
      </c>
      <c r="I71" s="9">
        <f t="shared" si="37"/>
        <v>1066489.8796693308</v>
      </c>
      <c r="J71" s="9">
        <f t="shared" si="37"/>
        <v>1463959.5821108499</v>
      </c>
      <c r="K71" s="9">
        <f t="shared" si="37"/>
        <v>11468656.602564201</v>
      </c>
      <c r="L71" s="9">
        <f t="shared" si="37"/>
        <v>18518683.751149978</v>
      </c>
      <c r="M71" s="9">
        <f t="shared" si="19"/>
        <v>29898777.958855916</v>
      </c>
      <c r="N71" s="87">
        <f t="shared" si="20"/>
        <v>42311839.579192325</v>
      </c>
    </row>
    <row r="72" spans="1:14" x14ac:dyDescent="0.2">
      <c r="A72" s="53"/>
      <c r="B72">
        <v>2019</v>
      </c>
      <c r="C72" s="9">
        <f t="shared" ref="C72:L72" si="38">(((C11*C$41)+(C21*C$42))*C$43)*C$48</f>
        <v>2756156.7652714206</v>
      </c>
      <c r="D72" s="9">
        <f t="shared" si="38"/>
        <v>3489966.7818980645</v>
      </c>
      <c r="E72" s="9">
        <f t="shared" si="38"/>
        <v>715099.66034716927</v>
      </c>
      <c r="F72" s="9">
        <f t="shared" si="38"/>
        <v>734021.13768626133</v>
      </c>
      <c r="G72" s="9">
        <f t="shared" si="38"/>
        <v>17856766.931124616</v>
      </c>
      <c r="H72" s="9">
        <f t="shared" si="38"/>
        <v>21701801.387361333</v>
      </c>
      <c r="I72" s="9">
        <f t="shared" si="38"/>
        <v>1672797.1625835064</v>
      </c>
      <c r="J72" s="9">
        <f t="shared" si="38"/>
        <v>1812519.9851717323</v>
      </c>
      <c r="K72" s="9">
        <f t="shared" si="38"/>
        <v>27394648.196250126</v>
      </c>
      <c r="L72" s="9">
        <f t="shared" si="38"/>
        <v>46724438.707783967</v>
      </c>
      <c r="M72" s="9">
        <f t="shared" si="19"/>
        <v>50395468.715576842</v>
      </c>
      <c r="N72" s="87">
        <f t="shared" si="20"/>
        <v>74462747.999901354</v>
      </c>
    </row>
    <row r="73" spans="1:14" x14ac:dyDescent="0.2">
      <c r="A73" s="53"/>
      <c r="B73">
        <v>2020</v>
      </c>
      <c r="C73" s="9">
        <f t="shared" ref="C73:L73" si="39">(((C12*C$41)+(C22*C$42))*C$43)*C$48</f>
        <v>3534080.9056834686</v>
      </c>
      <c r="D73" s="9">
        <f t="shared" si="39"/>
        <v>4023946.6874173251</v>
      </c>
      <c r="E73" s="9">
        <f t="shared" si="39"/>
        <v>345357.17302413436</v>
      </c>
      <c r="F73" s="9">
        <f t="shared" si="39"/>
        <v>363947.84085474431</v>
      </c>
      <c r="G73" s="9">
        <f t="shared" si="39"/>
        <v>11470582.232191207</v>
      </c>
      <c r="H73" s="9">
        <f t="shared" si="39"/>
        <v>14038455.734280273</v>
      </c>
      <c r="I73" s="9">
        <f t="shared" si="39"/>
        <v>1088329.9299757774</v>
      </c>
      <c r="J73" s="9">
        <f t="shared" si="39"/>
        <v>1405846.1787156358</v>
      </c>
      <c r="K73" s="9">
        <f t="shared" si="39"/>
        <v>14570739.869686322</v>
      </c>
      <c r="L73" s="9">
        <f t="shared" si="39"/>
        <v>25072153.92997475</v>
      </c>
      <c r="M73" s="9">
        <f t="shared" si="19"/>
        <v>31009090.110560909</v>
      </c>
      <c r="N73" s="87">
        <f t="shared" si="20"/>
        <v>44904350.371242732</v>
      </c>
    </row>
    <row r="74" spans="1:14" ht="16" thickBot="1" x14ac:dyDescent="0.25">
      <c r="A74" s="55"/>
      <c r="B74" s="105" t="s">
        <v>365</v>
      </c>
      <c r="C74" s="88">
        <f>AVERAGE(C64:C73)</f>
        <v>5284450.2809713567</v>
      </c>
      <c r="D74" s="88">
        <f t="shared" ref="D74:N74" si="40">AVERAGE(D64:D73)</f>
        <v>6739683.3366825059</v>
      </c>
      <c r="E74" s="88">
        <f t="shared" si="40"/>
        <v>702275.36148181069</v>
      </c>
      <c r="F74" s="88">
        <f t="shared" si="40"/>
        <v>731139.7236139148</v>
      </c>
      <c r="G74" s="88">
        <f t="shared" si="40"/>
        <v>19768258.904281437</v>
      </c>
      <c r="H74" s="88">
        <f t="shared" si="40"/>
        <v>23711549.855783015</v>
      </c>
      <c r="I74" s="88">
        <f t="shared" si="40"/>
        <v>1352442.0120944085</v>
      </c>
      <c r="J74" s="88">
        <f t="shared" si="40"/>
        <v>1618474.5906767347</v>
      </c>
      <c r="K74" s="88">
        <f t="shared" si="40"/>
        <v>19525878.92206588</v>
      </c>
      <c r="L74" s="88">
        <f t="shared" si="40"/>
        <v>33978323.968067415</v>
      </c>
      <c r="M74" s="88">
        <f t="shared" si="40"/>
        <v>46633305.480894886</v>
      </c>
      <c r="N74" s="91">
        <f t="shared" si="40"/>
        <v>66779171.474823594</v>
      </c>
    </row>
  </sheetData>
  <mergeCells count="7">
    <mergeCell ref="M1:N1"/>
    <mergeCell ref="R1:T1"/>
    <mergeCell ref="V1:X1"/>
    <mergeCell ref="V6:Y6"/>
    <mergeCell ref="M51:N51"/>
    <mergeCell ref="R51:T51"/>
    <mergeCell ref="V51:X5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D64D-A7E3-49C0-A4CD-354FC618DE6B}">
  <dimension ref="A1:V37"/>
  <sheetViews>
    <sheetView topLeftCell="A6" workbookViewId="0">
      <selection activeCell="K33" sqref="K33"/>
    </sheetView>
  </sheetViews>
  <sheetFormatPr baseColWidth="10" defaultColWidth="8.83203125" defaultRowHeight="15" x14ac:dyDescent="0.2"/>
  <cols>
    <col min="1" max="1" width="13.6640625" bestFit="1" customWidth="1"/>
    <col min="2" max="2" width="20" bestFit="1" customWidth="1"/>
    <col min="3" max="3" width="14" bestFit="1" customWidth="1"/>
    <col min="4" max="4" width="20" bestFit="1" customWidth="1"/>
    <col min="5" max="5" width="14" bestFit="1" customWidth="1"/>
    <col min="6" max="6" width="20" bestFit="1" customWidth="1"/>
    <col min="7" max="7" width="14" bestFit="1" customWidth="1"/>
    <col min="8" max="8" width="20" bestFit="1" customWidth="1"/>
    <col min="9" max="9" width="14" bestFit="1" customWidth="1"/>
    <col min="10" max="10" width="20" bestFit="1" customWidth="1"/>
    <col min="11" max="11" width="14" bestFit="1" customWidth="1"/>
    <col min="21" max="21" width="13.1640625" bestFit="1" customWidth="1"/>
  </cols>
  <sheetData>
    <row r="1" spans="1:22" ht="17" thickBot="1" x14ac:dyDescent="0.25">
      <c r="B1" s="1"/>
      <c r="C1" s="1" t="str">
        <f>CombinedRAW!L5</f>
        <v>Chinook</v>
      </c>
      <c r="D1" s="1" t="str">
        <f>CombinedRAW!M5</f>
        <v>Chinook</v>
      </c>
      <c r="E1" s="1" t="str">
        <f>CombinedRAW!N5</f>
        <v>Chum</v>
      </c>
      <c r="F1" s="1" t="str">
        <f>CombinedRAW!O5</f>
        <v>Chum</v>
      </c>
      <c r="G1" s="1" t="str">
        <f>CombinedRAW!P5</f>
        <v>Coho</v>
      </c>
      <c r="H1" s="1" t="str">
        <f>CombinedRAW!Q5</f>
        <v>Coho</v>
      </c>
      <c r="I1" s="1" t="str">
        <f>CombinedRAW!R5</f>
        <v>Pink</v>
      </c>
      <c r="J1" s="1" t="str">
        <f>CombinedRAW!S5</f>
        <v>Pink</v>
      </c>
      <c r="K1" s="1" t="str">
        <f>CombinedRAW!T5</f>
        <v>Sockeye</v>
      </c>
      <c r="L1" s="1" t="str">
        <f>CombinedRAW!U5</f>
        <v>Sockeye</v>
      </c>
      <c r="M1" s="119" t="s">
        <v>403</v>
      </c>
      <c r="N1" s="119"/>
      <c r="P1" s="135" t="s">
        <v>366</v>
      </c>
      <c r="Q1" s="136"/>
      <c r="R1" s="137"/>
      <c r="T1" s="138" t="s">
        <v>404</v>
      </c>
      <c r="U1" s="139"/>
      <c r="V1" s="140"/>
    </row>
    <row r="2" spans="1:22" x14ac:dyDescent="0.2">
      <c r="A2" s="1" t="str">
        <f>CombinedRAW!J6</f>
        <v>Forest</v>
      </c>
      <c r="B2" s="1" t="str">
        <f>CombinedRAW!K6</f>
        <v>Year</v>
      </c>
      <c r="C2" s="1" t="s">
        <v>328</v>
      </c>
      <c r="D2" s="1" t="s">
        <v>329</v>
      </c>
      <c r="E2" s="1" t="s">
        <v>328</v>
      </c>
      <c r="F2" s="1" t="s">
        <v>329</v>
      </c>
      <c r="G2" s="1" t="s">
        <v>328</v>
      </c>
      <c r="H2" s="1" t="s">
        <v>329</v>
      </c>
      <c r="I2" s="1" t="s">
        <v>328</v>
      </c>
      <c r="J2" s="1" t="s">
        <v>329</v>
      </c>
      <c r="K2" s="1" t="s">
        <v>328</v>
      </c>
      <c r="L2" s="1" t="s">
        <v>329</v>
      </c>
      <c r="M2" s="1" t="s">
        <v>402</v>
      </c>
      <c r="N2" s="1" t="s">
        <v>362</v>
      </c>
      <c r="P2" s="47" t="s">
        <v>3</v>
      </c>
      <c r="Q2" s="1" t="s">
        <v>363</v>
      </c>
      <c r="R2" s="48" t="s">
        <v>364</v>
      </c>
      <c r="T2" s="53"/>
      <c r="U2" s="1" t="s">
        <v>328</v>
      </c>
      <c r="V2" s="48" t="s">
        <v>329</v>
      </c>
    </row>
    <row r="3" spans="1:22" x14ac:dyDescent="0.2">
      <c r="A3" t="s">
        <v>330</v>
      </c>
      <c r="B3">
        <v>2011</v>
      </c>
      <c r="C3">
        <f>CombinedRAW!L47</f>
        <v>0</v>
      </c>
      <c r="D3">
        <f>CombinedRAW!M47</f>
        <v>0</v>
      </c>
      <c r="E3">
        <f>CombinedRAW!N47</f>
        <v>28.539733333333334</v>
      </c>
      <c r="F3">
        <f>CombinedRAW!O47</f>
        <v>35.674666666666667</v>
      </c>
      <c r="G3">
        <f>CombinedRAW!P47</f>
        <v>913.65</v>
      </c>
      <c r="H3">
        <f>CombinedRAW!Q47</f>
        <v>1139</v>
      </c>
      <c r="I3">
        <f>CombinedRAW!R47</f>
        <v>12.6435</v>
      </c>
      <c r="J3">
        <f>CombinedRAW!S47</f>
        <v>14.048333333333332</v>
      </c>
      <c r="K3">
        <f>CombinedRAW!T47</f>
        <v>1838.7519466666668</v>
      </c>
      <c r="L3">
        <f>CombinedRAW!U47</f>
        <v>3917.2713333333336</v>
      </c>
      <c r="M3">
        <f>SUM(C3,E3,G3,I3,K3)</f>
        <v>2793.58518</v>
      </c>
      <c r="N3">
        <f>SUM(D3,F3,H3,J3,L3)</f>
        <v>5105.994333333334</v>
      </c>
      <c r="P3" s="47" t="s">
        <v>9</v>
      </c>
      <c r="Q3">
        <f>(C37/M37)*100</f>
        <v>1.0246047078736682</v>
      </c>
      <c r="R3" s="49">
        <f>(D37/N37)*100</f>
        <v>0.93182718425598809</v>
      </c>
      <c r="T3" s="47" t="s">
        <v>330</v>
      </c>
      <c r="U3">
        <f>M35/M37</f>
        <v>0.19681986765842249</v>
      </c>
      <c r="V3" s="49">
        <f>N35/N37</f>
        <v>0.24761942769025314</v>
      </c>
    </row>
    <row r="4" spans="1:22" ht="16" thickBot="1" x14ac:dyDescent="0.25">
      <c r="A4" t="s">
        <v>330</v>
      </c>
      <c r="B4">
        <v>2012</v>
      </c>
      <c r="C4">
        <f>CombinedRAW!L48</f>
        <v>0</v>
      </c>
      <c r="D4">
        <f>CombinedRAW!M48</f>
        <v>0</v>
      </c>
      <c r="E4">
        <f>CombinedRAW!N48</f>
        <v>20.125600000000002</v>
      </c>
      <c r="F4">
        <f>CombinedRAW!O48</f>
        <v>25.157</v>
      </c>
      <c r="G4">
        <f>CombinedRAW!P48</f>
        <v>485.95</v>
      </c>
      <c r="H4">
        <f>CombinedRAW!Q48</f>
        <v>523</v>
      </c>
      <c r="I4">
        <f>CombinedRAW!R48</f>
        <v>0</v>
      </c>
      <c r="J4">
        <f>CombinedRAW!S48</f>
        <v>0</v>
      </c>
      <c r="K4">
        <f>CombinedRAW!T48</f>
        <v>2972.4133333333334</v>
      </c>
      <c r="L4">
        <f>CombinedRAW!U48</f>
        <v>6665.1666666666661</v>
      </c>
      <c r="M4">
        <f t="shared" ref="M4:N32" si="0">SUM(C4,E4,G4,I4,K4)</f>
        <v>3478.4889333333335</v>
      </c>
      <c r="N4">
        <f t="shared" si="0"/>
        <v>7213.3236666666662</v>
      </c>
      <c r="P4" s="47" t="s">
        <v>53</v>
      </c>
      <c r="Q4">
        <f>E37/M37*100</f>
        <v>0.68765001310644513</v>
      </c>
      <c r="R4" s="49">
        <f>F37/N37*100</f>
        <v>0.72984393995086938</v>
      </c>
      <c r="T4" s="50" t="s">
        <v>331</v>
      </c>
      <c r="U4" s="51">
        <f>M36/M37</f>
        <v>0.8031801323415777</v>
      </c>
      <c r="V4" s="52">
        <f>N36/N37</f>
        <v>0.75238057230974698</v>
      </c>
    </row>
    <row r="5" spans="1:22" x14ac:dyDescent="0.2">
      <c r="A5" t="s">
        <v>330</v>
      </c>
      <c r="B5">
        <v>2013</v>
      </c>
      <c r="C5">
        <f>CombinedRAW!L49</f>
        <v>0</v>
      </c>
      <c r="D5">
        <f>CombinedRAW!M49</f>
        <v>0</v>
      </c>
      <c r="E5">
        <f>CombinedRAW!N49</f>
        <v>119.072</v>
      </c>
      <c r="F5">
        <f>CombinedRAW!O49</f>
        <v>148.84</v>
      </c>
      <c r="G5">
        <f>CombinedRAW!P49</f>
        <v>499.68</v>
      </c>
      <c r="H5">
        <f>CombinedRAW!Q49</f>
        <v>611</v>
      </c>
      <c r="I5">
        <f>CombinedRAW!R49</f>
        <v>0</v>
      </c>
      <c r="J5">
        <f>CombinedRAW!S49</f>
        <v>0</v>
      </c>
      <c r="K5">
        <f>CombinedRAW!T49</f>
        <v>3132.5862800000004</v>
      </c>
      <c r="L5">
        <f>CombinedRAW!U49</f>
        <v>7165.9880000000003</v>
      </c>
      <c r="M5">
        <f t="shared" si="0"/>
        <v>3751.3382800000004</v>
      </c>
      <c r="N5">
        <f t="shared" si="0"/>
        <v>7925.8280000000004</v>
      </c>
      <c r="P5" s="47" t="s">
        <v>31</v>
      </c>
      <c r="Q5">
        <f>G37/M37*100</f>
        <v>7.617917390094413</v>
      </c>
      <c r="R5" s="49">
        <f>H37/N37*100</f>
        <v>5.7329763983220348</v>
      </c>
    </row>
    <row r="6" spans="1:22" x14ac:dyDescent="0.2">
      <c r="A6" t="s">
        <v>330</v>
      </c>
      <c r="B6">
        <v>2014</v>
      </c>
      <c r="C6">
        <f>CombinedRAW!L50</f>
        <v>0</v>
      </c>
      <c r="D6">
        <f>CombinedRAW!M50</f>
        <v>0</v>
      </c>
      <c r="E6">
        <f>CombinedRAW!N50</f>
        <v>0</v>
      </c>
      <c r="F6">
        <f>CombinedRAW!O50</f>
        <v>0</v>
      </c>
      <c r="G6">
        <f>CombinedRAW!P50</f>
        <v>673.27</v>
      </c>
      <c r="H6">
        <f>CombinedRAW!Q50</f>
        <v>715</v>
      </c>
      <c r="I6">
        <f>CombinedRAW!R50</f>
        <v>0.80099999999999993</v>
      </c>
      <c r="J6">
        <f>CombinedRAW!S50</f>
        <v>0.8899999999999999</v>
      </c>
      <c r="K6">
        <f>CombinedRAW!T50</f>
        <v>1359.29483</v>
      </c>
      <c r="L6">
        <f>CombinedRAW!U50</f>
        <v>2880.1929999999998</v>
      </c>
      <c r="M6">
        <f t="shared" si="0"/>
        <v>2033.3658300000002</v>
      </c>
      <c r="N6">
        <f t="shared" si="0"/>
        <v>3596.0829999999996</v>
      </c>
      <c r="P6" s="47" t="s">
        <v>42</v>
      </c>
      <c r="Q6">
        <f>I37/M37*100</f>
        <v>2.0906759169131375</v>
      </c>
      <c r="R6" s="49">
        <f>J37/N37*100</f>
        <v>2.3876143583135572</v>
      </c>
    </row>
    <row r="7" spans="1:22" ht="16" thickBot="1" x14ac:dyDescent="0.25">
      <c r="A7" t="s">
        <v>330</v>
      </c>
      <c r="B7">
        <v>2015</v>
      </c>
      <c r="C7">
        <f>CombinedRAW!L51</f>
        <v>0</v>
      </c>
      <c r="D7">
        <f>CombinedRAW!M51</f>
        <v>0</v>
      </c>
      <c r="E7">
        <f>CombinedRAW!N51</f>
        <v>8.4391999999999996</v>
      </c>
      <c r="F7">
        <f>CombinedRAW!O51</f>
        <v>10.548999999999999</v>
      </c>
      <c r="G7">
        <f>CombinedRAW!P51</f>
        <v>1009.88</v>
      </c>
      <c r="H7">
        <f>CombinedRAW!Q51</f>
        <v>1081</v>
      </c>
      <c r="I7">
        <f>CombinedRAW!R51</f>
        <v>0</v>
      </c>
      <c r="J7">
        <f>CombinedRAW!S51</f>
        <v>0</v>
      </c>
      <c r="K7">
        <f>CombinedRAW!T51</f>
        <v>1323.6477400000001</v>
      </c>
      <c r="L7">
        <f>CombinedRAW!U51</f>
        <v>2778.4659999999999</v>
      </c>
      <c r="M7">
        <f t="shared" si="0"/>
        <v>2341.9669400000002</v>
      </c>
      <c r="N7">
        <f t="shared" si="0"/>
        <v>3870.0149999999999</v>
      </c>
      <c r="P7" s="50" t="s">
        <v>20</v>
      </c>
      <c r="Q7" s="51">
        <f>K37/M37*100</f>
        <v>88.579151972012355</v>
      </c>
      <c r="R7" s="52">
        <f>L37/N37*100</f>
        <v>90.217738119157545</v>
      </c>
      <c r="U7" t="s">
        <v>456</v>
      </c>
    </row>
    <row r="8" spans="1:22" x14ac:dyDescent="0.2">
      <c r="A8" t="s">
        <v>330</v>
      </c>
      <c r="B8">
        <v>2016</v>
      </c>
      <c r="C8">
        <f>CombinedRAW!L52</f>
        <v>0.17</v>
      </c>
      <c r="D8">
        <f>CombinedRAW!M52</f>
        <v>1</v>
      </c>
      <c r="E8">
        <f>CombinedRAW!N52</f>
        <v>0</v>
      </c>
      <c r="F8">
        <f>CombinedRAW!O52</f>
        <v>0</v>
      </c>
      <c r="G8">
        <f>CombinedRAW!P52</f>
        <v>557.27</v>
      </c>
      <c r="H8">
        <f>CombinedRAW!Q52</f>
        <v>558</v>
      </c>
      <c r="I8">
        <f>CombinedRAW!R52</f>
        <v>0</v>
      </c>
      <c r="J8">
        <f>CombinedRAW!S52</f>
        <v>0</v>
      </c>
      <c r="K8">
        <f>CombinedRAW!T52</f>
        <v>1713.9102933333334</v>
      </c>
      <c r="L8">
        <f>CombinedRAW!U52</f>
        <v>3289.3076666666666</v>
      </c>
      <c r="M8">
        <f t="shared" si="0"/>
        <v>2271.3502933333334</v>
      </c>
      <c r="N8">
        <f t="shared" si="0"/>
        <v>3848.3076666666666</v>
      </c>
      <c r="T8" t="s">
        <v>9</v>
      </c>
      <c r="U8">
        <f>D37</f>
        <v>2769.9282797814849</v>
      </c>
    </row>
    <row r="9" spans="1:22" x14ac:dyDescent="0.2">
      <c r="A9" t="s">
        <v>330</v>
      </c>
      <c r="B9">
        <v>2017</v>
      </c>
      <c r="C9">
        <f>CombinedRAW!L53</f>
        <v>0.34</v>
      </c>
      <c r="D9">
        <f>CombinedRAW!M53</f>
        <v>2</v>
      </c>
      <c r="E9">
        <f>CombinedRAW!N53</f>
        <v>2.6840000000000002</v>
      </c>
      <c r="F9">
        <f>CombinedRAW!O53</f>
        <v>3.355</v>
      </c>
      <c r="G9">
        <f>CombinedRAW!P53</f>
        <v>585.88</v>
      </c>
      <c r="H9">
        <f>CombinedRAW!Q53</f>
        <v>624</v>
      </c>
      <c r="I9">
        <f>CombinedRAW!R53</f>
        <v>0.44</v>
      </c>
      <c r="J9">
        <f>CombinedRAW!S53</f>
        <v>11</v>
      </c>
      <c r="K9">
        <f>CombinedRAW!T53</f>
        <v>3220.6760800000002</v>
      </c>
      <c r="L9">
        <f>CombinedRAW!U53</f>
        <v>6760.3680000000004</v>
      </c>
      <c r="M9">
        <f t="shared" si="0"/>
        <v>3810.0200800000002</v>
      </c>
      <c r="N9">
        <f t="shared" si="0"/>
        <v>7400.723</v>
      </c>
      <c r="T9" t="s">
        <v>53</v>
      </c>
      <c r="U9">
        <f>F37</f>
        <v>2169.5174848447891</v>
      </c>
    </row>
    <row r="10" spans="1:22" x14ac:dyDescent="0.2">
      <c r="A10" t="s">
        <v>330</v>
      </c>
      <c r="B10">
        <v>2018</v>
      </c>
      <c r="C10">
        <f>CombinedRAW!L54</f>
        <v>0</v>
      </c>
      <c r="D10">
        <f>CombinedRAW!M54</f>
        <v>0</v>
      </c>
      <c r="E10">
        <f>CombinedRAW!N54</f>
        <v>19.738666666666667</v>
      </c>
      <c r="F10">
        <f>CombinedRAW!O54</f>
        <v>24.673333333333328</v>
      </c>
      <c r="G10">
        <f>CombinedRAW!P54</f>
        <v>449.18999999999994</v>
      </c>
      <c r="H10">
        <f>CombinedRAW!Q54</f>
        <v>519</v>
      </c>
      <c r="I10">
        <f>CombinedRAW!R54</f>
        <v>6.1989000000000001</v>
      </c>
      <c r="J10">
        <f>CombinedRAW!S54</f>
        <v>12.620999999999999</v>
      </c>
      <c r="K10">
        <f>CombinedRAW!T54</f>
        <v>4080.8928533333333</v>
      </c>
      <c r="L10">
        <f>CombinedRAW!U54</f>
        <v>9106.3086666666677</v>
      </c>
      <c r="M10">
        <f t="shared" si="0"/>
        <v>4556.0204199999998</v>
      </c>
      <c r="N10">
        <f t="shared" si="0"/>
        <v>9662.603000000001</v>
      </c>
      <c r="T10" t="s">
        <v>31</v>
      </c>
      <c r="U10">
        <f>H37</f>
        <v>17041.715160640269</v>
      </c>
    </row>
    <row r="11" spans="1:22" x14ac:dyDescent="0.2">
      <c r="A11" t="s">
        <v>330</v>
      </c>
      <c r="B11">
        <v>2019</v>
      </c>
      <c r="C11">
        <f>CombinedRAW!L55</f>
        <v>1.87</v>
      </c>
      <c r="D11">
        <f>CombinedRAW!M55</f>
        <v>11</v>
      </c>
      <c r="E11">
        <f>CombinedRAW!N55</f>
        <v>12.019200000000001</v>
      </c>
      <c r="F11">
        <f>CombinedRAW!O55</f>
        <v>15.024000000000001</v>
      </c>
      <c r="G11">
        <f>CombinedRAW!P55</f>
        <v>805.30090999999993</v>
      </c>
      <c r="H11">
        <f>CombinedRAW!Q55</f>
        <v>837.25099999999998</v>
      </c>
      <c r="I11">
        <f>CombinedRAW!R55</f>
        <v>1.9813000000000001</v>
      </c>
      <c r="J11">
        <f>CombinedRAW!S55</f>
        <v>3.157</v>
      </c>
      <c r="K11">
        <f>CombinedRAW!T55</f>
        <v>4568.3302933333325</v>
      </c>
      <c r="L11">
        <f>CombinedRAW!U55</f>
        <v>9847.7526666666672</v>
      </c>
      <c r="M11">
        <f t="shared" si="0"/>
        <v>5389.5017033333324</v>
      </c>
      <c r="N11">
        <f t="shared" si="0"/>
        <v>10714.184666666668</v>
      </c>
      <c r="T11" t="s">
        <v>42</v>
      </c>
      <c r="U11">
        <f>J37</f>
        <v>7097.3681000577071</v>
      </c>
    </row>
    <row r="12" spans="1:22" x14ac:dyDescent="0.2">
      <c r="A12" t="s">
        <v>330</v>
      </c>
      <c r="B12">
        <v>2020</v>
      </c>
      <c r="C12">
        <f>CombinedRAW!L56</f>
        <v>0</v>
      </c>
      <c r="D12">
        <f>CombinedRAW!M56</f>
        <v>0</v>
      </c>
      <c r="E12">
        <f>CombinedRAW!N56</f>
        <v>15.807200000000003</v>
      </c>
      <c r="F12">
        <f>CombinedRAW!O56</f>
        <v>19.759</v>
      </c>
      <c r="G12">
        <f>CombinedRAW!P56</f>
        <v>507.07732499999997</v>
      </c>
      <c r="H12">
        <f>CombinedRAW!Q56</f>
        <v>586.20249999999999</v>
      </c>
      <c r="I12">
        <f>CombinedRAW!R56</f>
        <v>22.125299999999999</v>
      </c>
      <c r="J12">
        <f>CombinedRAW!S56</f>
        <v>24.583666666666666</v>
      </c>
      <c r="K12">
        <f>CombinedRAW!T56</f>
        <v>6183.6607999999997</v>
      </c>
      <c r="L12">
        <f>CombinedRAW!U56</f>
        <v>13639.18</v>
      </c>
      <c r="M12">
        <f t="shared" si="0"/>
        <v>6728.6706249999997</v>
      </c>
      <c r="N12">
        <f t="shared" si="0"/>
        <v>14269.725166666667</v>
      </c>
      <c r="T12" t="s">
        <v>20</v>
      </c>
      <c r="U12">
        <f>L37</f>
        <v>268179.19500138116</v>
      </c>
    </row>
    <row r="13" spans="1:22" x14ac:dyDescent="0.2">
      <c r="A13" t="s">
        <v>331</v>
      </c>
      <c r="B13">
        <v>2011</v>
      </c>
      <c r="C13">
        <f>CombinedRAW!L57</f>
        <v>243.55415409346199</v>
      </c>
      <c r="D13">
        <f>CombinedRAW!M57</f>
        <v>330.67324218750002</v>
      </c>
      <c r="E13">
        <f>CombinedRAW!N57</f>
        <v>88.486956284986604</v>
      </c>
      <c r="F13">
        <f>CombinedRAW!O57</f>
        <v>184.00478543563099</v>
      </c>
      <c r="G13">
        <f>CombinedRAW!P57</f>
        <v>950.53469526669403</v>
      </c>
      <c r="H13">
        <f>CombinedRAW!Q57</f>
        <v>1129.4900456621001</v>
      </c>
      <c r="I13">
        <f>CombinedRAW!R57</f>
        <v>424.33096980035998</v>
      </c>
      <c r="J13">
        <f>CombinedRAW!S57</f>
        <v>780.54</v>
      </c>
      <c r="K13">
        <f>CombinedRAW!T57</f>
        <v>15946.7688657708</v>
      </c>
      <c r="L13">
        <f>CombinedRAW!U57</f>
        <v>22467.5</v>
      </c>
      <c r="M13">
        <f t="shared" si="0"/>
        <v>17653.675641216301</v>
      </c>
      <c r="N13">
        <f t="shared" si="0"/>
        <v>24892.20807328523</v>
      </c>
    </row>
    <row r="14" spans="1:22" x14ac:dyDescent="0.2">
      <c r="A14" t="s">
        <v>331</v>
      </c>
      <c r="B14">
        <v>2012</v>
      </c>
      <c r="C14">
        <f>CombinedRAW!L58</f>
        <v>187.96864389794001</v>
      </c>
      <c r="D14">
        <f>CombinedRAW!M58</f>
        <v>259.49</v>
      </c>
      <c r="E14">
        <f>CombinedRAW!N58</f>
        <v>32.970392313961497</v>
      </c>
      <c r="F14">
        <f>CombinedRAW!O58</f>
        <v>57.615199409158002</v>
      </c>
      <c r="G14">
        <f>CombinedRAW!P58</f>
        <v>1101.23121119539</v>
      </c>
      <c r="H14">
        <f>CombinedRAW!Q58</f>
        <v>1329.6334245917401</v>
      </c>
      <c r="I14">
        <f>CombinedRAW!R58</f>
        <v>595.13538798523803</v>
      </c>
      <c r="J14">
        <f>CombinedRAW!S58</f>
        <v>827.81832376578598</v>
      </c>
      <c r="K14">
        <f>CombinedRAW!T58</f>
        <v>17116.161833585102</v>
      </c>
      <c r="L14">
        <f>CombinedRAW!U58</f>
        <v>25180.1</v>
      </c>
      <c r="M14">
        <f t="shared" si="0"/>
        <v>19033.467468977629</v>
      </c>
      <c r="N14">
        <f t="shared" si="0"/>
        <v>27654.656947766682</v>
      </c>
    </row>
    <row r="15" spans="1:22" x14ac:dyDescent="0.2">
      <c r="A15" t="s">
        <v>331</v>
      </c>
      <c r="B15">
        <v>2013</v>
      </c>
      <c r="C15">
        <f>CombinedRAW!L59</f>
        <v>342.88267484694001</v>
      </c>
      <c r="D15">
        <f>CombinedRAW!M59</f>
        <v>441.65</v>
      </c>
      <c r="E15">
        <f>CombinedRAW!N59</f>
        <v>4.8980266634190004</v>
      </c>
      <c r="F15">
        <f>CombinedRAW!O59</f>
        <v>9.9655000000000094</v>
      </c>
      <c r="G15">
        <f>CombinedRAW!P59</f>
        <v>191.76192106308</v>
      </c>
      <c r="H15">
        <f>CombinedRAW!Q59</f>
        <v>380.71819038642798</v>
      </c>
      <c r="I15">
        <f>CombinedRAW!R59</f>
        <v>70.164375239969999</v>
      </c>
      <c r="J15">
        <f>CombinedRAW!S59</f>
        <v>605.37</v>
      </c>
      <c r="K15">
        <f>CombinedRAW!T59</f>
        <v>16364.4011313395</v>
      </c>
      <c r="L15">
        <f>CombinedRAW!U59</f>
        <v>22911.200000000001</v>
      </c>
      <c r="M15">
        <f t="shared" si="0"/>
        <v>16974.108129152908</v>
      </c>
      <c r="N15">
        <f t="shared" si="0"/>
        <v>24348.903690386429</v>
      </c>
    </row>
    <row r="16" spans="1:22" x14ac:dyDescent="0.2">
      <c r="A16" t="s">
        <v>331</v>
      </c>
      <c r="B16">
        <v>2014</v>
      </c>
      <c r="C16">
        <f>CombinedRAW!L60</f>
        <v>281.82002222903998</v>
      </c>
      <c r="D16">
        <f>CombinedRAW!M60</f>
        <v>399</v>
      </c>
      <c r="E16">
        <f>CombinedRAW!N60</f>
        <v>212.57722723449999</v>
      </c>
      <c r="F16">
        <f>CombinedRAW!O60</f>
        <v>303</v>
      </c>
      <c r="G16">
        <f>CombinedRAW!P60</f>
        <v>322.29805954097998</v>
      </c>
      <c r="H16">
        <f>CombinedRAW!Q60</f>
        <v>565.42999999999995</v>
      </c>
      <c r="I16">
        <f>CombinedRAW!R60</f>
        <v>606.33078792499998</v>
      </c>
      <c r="J16">
        <f>CombinedRAW!S60</f>
        <v>786.5</v>
      </c>
      <c r="K16">
        <f>CombinedRAW!T60</f>
        <v>15315.4645290013</v>
      </c>
      <c r="L16">
        <f>CombinedRAW!U60</f>
        <v>20240.900000000001</v>
      </c>
      <c r="M16">
        <f t="shared" si="0"/>
        <v>16738.490625930819</v>
      </c>
      <c r="N16">
        <f t="shared" si="0"/>
        <v>22294.83</v>
      </c>
    </row>
    <row r="17" spans="1:14" x14ac:dyDescent="0.2">
      <c r="A17" t="s">
        <v>331</v>
      </c>
      <c r="B17">
        <v>2015</v>
      </c>
      <c r="C17">
        <f>CombinedRAW!L61</f>
        <v>109.908319058564</v>
      </c>
      <c r="D17">
        <f>CombinedRAW!M61</f>
        <v>159.515037593985</v>
      </c>
      <c r="E17">
        <f>CombinedRAW!N61</f>
        <v>84.892803952549997</v>
      </c>
      <c r="F17">
        <f>CombinedRAW!O61</f>
        <v>192.5</v>
      </c>
      <c r="G17">
        <f>CombinedRAW!P61</f>
        <v>887.33835956038001</v>
      </c>
      <c r="H17">
        <f>CombinedRAW!Q61</f>
        <v>1156.18</v>
      </c>
      <c r="I17">
        <f>CombinedRAW!R61</f>
        <v>448.97359253929</v>
      </c>
      <c r="J17">
        <f>CombinedRAW!S61</f>
        <v>735.85</v>
      </c>
      <c r="K17">
        <f>CombinedRAW!T61</f>
        <v>13492.5027503905</v>
      </c>
      <c r="L17">
        <f>CombinedRAW!U61</f>
        <v>17177.996431449301</v>
      </c>
      <c r="M17">
        <f t="shared" si="0"/>
        <v>15023.615825501285</v>
      </c>
      <c r="N17">
        <f t="shared" si="0"/>
        <v>19422.041469043284</v>
      </c>
    </row>
    <row r="18" spans="1:14" x14ac:dyDescent="0.2">
      <c r="A18" t="s">
        <v>331</v>
      </c>
      <c r="B18">
        <v>2016</v>
      </c>
      <c r="C18">
        <f>CombinedRAW!L62</f>
        <v>177.80072088276</v>
      </c>
      <c r="D18">
        <f>CombinedRAW!M62</f>
        <v>235.33</v>
      </c>
      <c r="E18">
        <f>CombinedRAW!N62</f>
        <v>173.85845094786001</v>
      </c>
      <c r="F18">
        <f>CombinedRAW!O62</f>
        <v>269.98</v>
      </c>
      <c r="G18">
        <f>CombinedRAW!P62</f>
        <v>1029.12878833272</v>
      </c>
      <c r="H18">
        <f>CombinedRAW!Q62</f>
        <v>1227.73</v>
      </c>
      <c r="I18">
        <f>CombinedRAW!R62</f>
        <v>768.24953565021997</v>
      </c>
      <c r="J18">
        <f>CombinedRAW!S62</f>
        <v>967.41</v>
      </c>
      <c r="K18">
        <f>CombinedRAW!T62</f>
        <v>13898.0784366675</v>
      </c>
      <c r="L18">
        <f>CombinedRAW!U62</f>
        <v>19572.7</v>
      </c>
      <c r="M18">
        <f t="shared" si="0"/>
        <v>16047.11593248106</v>
      </c>
      <c r="N18">
        <f t="shared" si="0"/>
        <v>22273.15</v>
      </c>
    </row>
    <row r="19" spans="1:14" x14ac:dyDescent="0.2">
      <c r="A19" t="s">
        <v>331</v>
      </c>
      <c r="B19">
        <v>2017</v>
      </c>
      <c r="C19">
        <f>CombinedRAW!L63</f>
        <v>200.43835799510001</v>
      </c>
      <c r="D19">
        <f>CombinedRAW!M63</f>
        <v>257.5</v>
      </c>
      <c r="E19">
        <f>CombinedRAW!N63</f>
        <v>80.968760175900002</v>
      </c>
      <c r="F19">
        <f>CombinedRAW!O63</f>
        <v>252.49</v>
      </c>
      <c r="G19">
        <f>CombinedRAW!P63</f>
        <v>579.61690744528005</v>
      </c>
      <c r="H19">
        <f>CombinedRAW!Q63</f>
        <v>778.82</v>
      </c>
      <c r="I19">
        <f>CombinedRAW!R63</f>
        <v>257.34645486907999</v>
      </c>
      <c r="J19">
        <f>CombinedRAW!S63</f>
        <v>577.65</v>
      </c>
      <c r="K19">
        <f>CombinedRAW!T63</f>
        <v>12012.4116031305</v>
      </c>
      <c r="L19">
        <f>CombinedRAW!U63</f>
        <v>17135.099999999999</v>
      </c>
      <c r="M19">
        <f t="shared" si="0"/>
        <v>13130.782083615861</v>
      </c>
      <c r="N19">
        <f t="shared" si="0"/>
        <v>19001.559999999998</v>
      </c>
    </row>
    <row r="20" spans="1:14" x14ac:dyDescent="0.2">
      <c r="A20" t="s">
        <v>331</v>
      </c>
      <c r="B20">
        <v>2018</v>
      </c>
      <c r="C20">
        <f>CombinedRAW!L64</f>
        <v>115.25290170469999</v>
      </c>
      <c r="D20">
        <f>CombinedRAW!M64</f>
        <v>208.15</v>
      </c>
      <c r="E20">
        <f>CombinedRAW!N64</f>
        <v>140.0255991825</v>
      </c>
      <c r="F20">
        <f>CombinedRAW!O64</f>
        <v>237.14</v>
      </c>
      <c r="G20">
        <f>CombinedRAW!P64</f>
        <v>1183.50605700491</v>
      </c>
      <c r="H20">
        <f>CombinedRAW!Q64</f>
        <v>1383.35</v>
      </c>
      <c r="I20">
        <f>CombinedRAW!R64</f>
        <v>307.22266613682001</v>
      </c>
      <c r="J20">
        <f>CombinedRAW!S64</f>
        <v>504.49</v>
      </c>
      <c r="K20">
        <f>CombinedRAW!T64</f>
        <v>12374.831761465201</v>
      </c>
      <c r="L20">
        <f>CombinedRAW!U64</f>
        <v>22250.1</v>
      </c>
      <c r="M20">
        <f t="shared" si="0"/>
        <v>14120.838985494131</v>
      </c>
      <c r="N20">
        <f t="shared" si="0"/>
        <v>24583.23</v>
      </c>
    </row>
    <row r="21" spans="1:14" x14ac:dyDescent="0.2">
      <c r="A21" t="s">
        <v>331</v>
      </c>
      <c r="B21">
        <v>2019</v>
      </c>
      <c r="C21">
        <f>CombinedRAW!L65</f>
        <v>151.22588897067999</v>
      </c>
      <c r="D21">
        <f>CombinedRAW!M65</f>
        <v>221.5</v>
      </c>
      <c r="E21">
        <f>CombinedRAW!N65</f>
        <v>179.99527551828001</v>
      </c>
      <c r="F21">
        <f>CombinedRAW!O65</f>
        <v>220.98</v>
      </c>
      <c r="G21">
        <f>CombinedRAW!P65</f>
        <v>830.83692132114004</v>
      </c>
      <c r="H21">
        <f>CombinedRAW!Q65</f>
        <v>988.76</v>
      </c>
      <c r="I21">
        <f>CombinedRAW!R65</f>
        <v>438.51596362946299</v>
      </c>
      <c r="J21">
        <f>CombinedRAW!S65</f>
        <v>769.171279212792</v>
      </c>
      <c r="K21">
        <f>CombinedRAW!T65</f>
        <v>13257.054412563901</v>
      </c>
      <c r="L21">
        <f>CombinedRAW!U65</f>
        <v>22970.725222197801</v>
      </c>
      <c r="M21">
        <f t="shared" si="0"/>
        <v>14857.628462003464</v>
      </c>
      <c r="N21">
        <f t="shared" si="0"/>
        <v>25171.136501410594</v>
      </c>
    </row>
    <row r="22" spans="1:14" x14ac:dyDescent="0.2">
      <c r="A22" t="s">
        <v>331</v>
      </c>
      <c r="B22">
        <v>2020</v>
      </c>
      <c r="C22">
        <f>CombinedRAW!L66</f>
        <v>120.94699652742</v>
      </c>
      <c r="D22">
        <f>CombinedRAW!M66</f>
        <v>243.12</v>
      </c>
      <c r="E22">
        <f>CombinedRAW!N66</f>
        <v>72.999564284499996</v>
      </c>
      <c r="F22">
        <f>CombinedRAW!O66</f>
        <v>158.81</v>
      </c>
      <c r="G22">
        <f>CombinedRAW!P66</f>
        <v>817.18219535870003</v>
      </c>
      <c r="H22">
        <f>CombinedRAW!Q66</f>
        <v>908.15</v>
      </c>
      <c r="I22">
        <f>CombinedRAW!R66</f>
        <v>-13.8247489463712</v>
      </c>
      <c r="J22">
        <f>CombinedRAW!S66</f>
        <v>476.26849707912902</v>
      </c>
      <c r="K22">
        <f>CombinedRAW!T66</f>
        <v>7041.8241283323796</v>
      </c>
      <c r="L22">
        <f>CombinedRAW!U66</f>
        <v>12222.871347734101</v>
      </c>
      <c r="M22">
        <f t="shared" si="0"/>
        <v>8039.128135556628</v>
      </c>
      <c r="N22">
        <f t="shared" si="0"/>
        <v>14009.219844813229</v>
      </c>
    </row>
    <row r="23" spans="1:14" x14ac:dyDescent="0.2">
      <c r="A23" t="s">
        <v>401</v>
      </c>
      <c r="B23">
        <v>2011</v>
      </c>
      <c r="C23">
        <f>SUM(C3,C13)</f>
        <v>243.55415409346199</v>
      </c>
      <c r="D23">
        <f t="shared" ref="D23:L23" si="1">SUM(D3,D13)</f>
        <v>330.67324218750002</v>
      </c>
      <c r="E23">
        <f t="shared" si="1"/>
        <v>117.02668961831993</v>
      </c>
      <c r="F23">
        <f t="shared" si="1"/>
        <v>219.67945210229766</v>
      </c>
      <c r="G23">
        <f t="shared" si="1"/>
        <v>1864.184695266694</v>
      </c>
      <c r="H23">
        <f t="shared" si="1"/>
        <v>2268.4900456620999</v>
      </c>
      <c r="I23">
        <f t="shared" si="1"/>
        <v>436.97446980036</v>
      </c>
      <c r="J23">
        <f t="shared" si="1"/>
        <v>794.58833333333325</v>
      </c>
      <c r="K23">
        <f t="shared" si="1"/>
        <v>17785.520812437466</v>
      </c>
      <c r="L23">
        <f t="shared" si="1"/>
        <v>26384.771333333334</v>
      </c>
      <c r="M23">
        <f t="shared" si="0"/>
        <v>20447.260821216303</v>
      </c>
      <c r="N23">
        <f t="shared" si="0"/>
        <v>29998.202406618566</v>
      </c>
    </row>
    <row r="24" spans="1:14" x14ac:dyDescent="0.2">
      <c r="A24" t="s">
        <v>401</v>
      </c>
      <c r="B24">
        <v>2012</v>
      </c>
      <c r="C24">
        <f t="shared" ref="C24:L32" si="2">SUM(C4,C14)</f>
        <v>187.96864389794001</v>
      </c>
      <c r="D24">
        <f t="shared" si="2"/>
        <v>259.49</v>
      </c>
      <c r="E24">
        <f t="shared" si="2"/>
        <v>53.095992313961503</v>
      </c>
      <c r="F24">
        <f t="shared" si="2"/>
        <v>82.772199409158006</v>
      </c>
      <c r="G24">
        <f t="shared" si="2"/>
        <v>1587.18121119539</v>
      </c>
      <c r="H24">
        <f t="shared" si="2"/>
        <v>1852.6334245917401</v>
      </c>
      <c r="I24">
        <f t="shared" si="2"/>
        <v>595.13538798523803</v>
      </c>
      <c r="J24">
        <f t="shared" si="2"/>
        <v>827.81832376578598</v>
      </c>
      <c r="K24">
        <f t="shared" si="2"/>
        <v>20088.575166918436</v>
      </c>
      <c r="L24">
        <f t="shared" si="2"/>
        <v>31845.266666666663</v>
      </c>
      <c r="M24">
        <f t="shared" si="0"/>
        <v>22511.956402310963</v>
      </c>
      <c r="N24">
        <f t="shared" si="0"/>
        <v>34867.980614433349</v>
      </c>
    </row>
    <row r="25" spans="1:14" x14ac:dyDescent="0.2">
      <c r="A25" t="s">
        <v>401</v>
      </c>
      <c r="B25">
        <v>2013</v>
      </c>
      <c r="C25">
        <f t="shared" si="2"/>
        <v>342.88267484694001</v>
      </c>
      <c r="D25">
        <f t="shared" si="2"/>
        <v>441.65</v>
      </c>
      <c r="E25">
        <f t="shared" si="2"/>
        <v>123.97002666341901</v>
      </c>
      <c r="F25">
        <f t="shared" si="2"/>
        <v>158.80550000000002</v>
      </c>
      <c r="G25">
        <f t="shared" si="2"/>
        <v>691.44192106308003</v>
      </c>
      <c r="H25">
        <f t="shared" si="2"/>
        <v>991.71819038642798</v>
      </c>
      <c r="I25">
        <f t="shared" si="2"/>
        <v>70.164375239969999</v>
      </c>
      <c r="J25">
        <f t="shared" si="2"/>
        <v>605.37</v>
      </c>
      <c r="K25">
        <f t="shared" si="2"/>
        <v>19496.987411339502</v>
      </c>
      <c r="L25">
        <f t="shared" si="2"/>
        <v>30077.188000000002</v>
      </c>
      <c r="M25">
        <f t="shared" si="0"/>
        <v>20725.446409152912</v>
      </c>
      <c r="N25">
        <f t="shared" si="0"/>
        <v>32274.73169038643</v>
      </c>
    </row>
    <row r="26" spans="1:14" x14ac:dyDescent="0.2">
      <c r="A26" t="s">
        <v>401</v>
      </c>
      <c r="B26">
        <v>2014</v>
      </c>
      <c r="C26">
        <f t="shared" si="2"/>
        <v>281.82002222903998</v>
      </c>
      <c r="D26">
        <f t="shared" si="2"/>
        <v>399</v>
      </c>
      <c r="E26">
        <f t="shared" si="2"/>
        <v>212.57722723449999</v>
      </c>
      <c r="F26">
        <f t="shared" si="2"/>
        <v>303</v>
      </c>
      <c r="G26">
        <f t="shared" si="2"/>
        <v>995.5680595409799</v>
      </c>
      <c r="H26">
        <f t="shared" si="2"/>
        <v>1280.4299999999998</v>
      </c>
      <c r="I26">
        <f t="shared" si="2"/>
        <v>607.13178792500003</v>
      </c>
      <c r="J26">
        <f t="shared" si="2"/>
        <v>787.39</v>
      </c>
      <c r="K26">
        <f t="shared" si="2"/>
        <v>16674.759359001298</v>
      </c>
      <c r="L26">
        <f t="shared" si="2"/>
        <v>23121.093000000001</v>
      </c>
      <c r="M26">
        <f t="shared" si="0"/>
        <v>18771.856455930818</v>
      </c>
      <c r="N26">
        <f t="shared" si="0"/>
        <v>25890.913</v>
      </c>
    </row>
    <row r="27" spans="1:14" x14ac:dyDescent="0.2">
      <c r="A27" t="s">
        <v>401</v>
      </c>
      <c r="B27">
        <v>2015</v>
      </c>
      <c r="C27">
        <f t="shared" si="2"/>
        <v>109.908319058564</v>
      </c>
      <c r="D27">
        <f t="shared" si="2"/>
        <v>159.515037593985</v>
      </c>
      <c r="E27">
        <f t="shared" si="2"/>
        <v>93.332003952549996</v>
      </c>
      <c r="F27">
        <f t="shared" si="2"/>
        <v>203.04900000000001</v>
      </c>
      <c r="G27">
        <f t="shared" si="2"/>
        <v>1897.2183595603801</v>
      </c>
      <c r="H27">
        <f t="shared" si="2"/>
        <v>2237.1800000000003</v>
      </c>
      <c r="I27">
        <f t="shared" si="2"/>
        <v>448.97359253929</v>
      </c>
      <c r="J27">
        <f t="shared" si="2"/>
        <v>735.85</v>
      </c>
      <c r="K27">
        <f t="shared" si="2"/>
        <v>14816.150490390501</v>
      </c>
      <c r="L27">
        <f t="shared" si="2"/>
        <v>19956.462431449301</v>
      </c>
      <c r="M27">
        <f t="shared" si="0"/>
        <v>17365.582765501284</v>
      </c>
      <c r="N27">
        <f t="shared" si="0"/>
        <v>23292.056469043288</v>
      </c>
    </row>
    <row r="28" spans="1:14" x14ac:dyDescent="0.2">
      <c r="A28" t="s">
        <v>401</v>
      </c>
      <c r="B28">
        <v>2016</v>
      </c>
      <c r="C28">
        <f t="shared" si="2"/>
        <v>177.97072088275999</v>
      </c>
      <c r="D28">
        <f t="shared" si="2"/>
        <v>236.33</v>
      </c>
      <c r="E28">
        <f t="shared" si="2"/>
        <v>173.85845094786001</v>
      </c>
      <c r="F28">
        <f t="shared" si="2"/>
        <v>269.98</v>
      </c>
      <c r="G28">
        <f t="shared" si="2"/>
        <v>1586.39878833272</v>
      </c>
      <c r="H28">
        <f t="shared" si="2"/>
        <v>1785.73</v>
      </c>
      <c r="I28">
        <f t="shared" si="2"/>
        <v>768.24953565021997</v>
      </c>
      <c r="J28">
        <f t="shared" si="2"/>
        <v>967.41</v>
      </c>
      <c r="K28">
        <f t="shared" si="2"/>
        <v>15611.988730000834</v>
      </c>
      <c r="L28">
        <f t="shared" si="2"/>
        <v>22862.007666666668</v>
      </c>
      <c r="M28">
        <f t="shared" si="0"/>
        <v>18318.466225814394</v>
      </c>
      <c r="N28">
        <f t="shared" si="0"/>
        <v>26121.457666666669</v>
      </c>
    </row>
    <row r="29" spans="1:14" x14ac:dyDescent="0.2">
      <c r="A29" t="s">
        <v>401</v>
      </c>
      <c r="B29">
        <v>2017</v>
      </c>
      <c r="C29">
        <f t="shared" si="2"/>
        <v>200.77835799510001</v>
      </c>
      <c r="D29">
        <f t="shared" si="2"/>
        <v>259.5</v>
      </c>
      <c r="E29">
        <f t="shared" si="2"/>
        <v>83.652760175899999</v>
      </c>
      <c r="F29">
        <f t="shared" si="2"/>
        <v>255.845</v>
      </c>
      <c r="G29">
        <f t="shared" si="2"/>
        <v>1165.4969074452802</v>
      </c>
      <c r="H29">
        <f t="shared" si="2"/>
        <v>1402.8200000000002</v>
      </c>
      <c r="I29">
        <f t="shared" si="2"/>
        <v>257.78645486907999</v>
      </c>
      <c r="J29">
        <f t="shared" si="2"/>
        <v>588.65</v>
      </c>
      <c r="K29">
        <f t="shared" si="2"/>
        <v>15233.087683130499</v>
      </c>
      <c r="L29">
        <f t="shared" si="2"/>
        <v>23895.468000000001</v>
      </c>
      <c r="M29">
        <f t="shared" si="0"/>
        <v>16940.802163615859</v>
      </c>
      <c r="N29">
        <f t="shared" si="0"/>
        <v>26402.282999999999</v>
      </c>
    </row>
    <row r="30" spans="1:14" x14ac:dyDescent="0.2">
      <c r="A30" t="s">
        <v>401</v>
      </c>
      <c r="B30">
        <v>2018</v>
      </c>
      <c r="C30">
        <f t="shared" si="2"/>
        <v>115.25290170469999</v>
      </c>
      <c r="D30">
        <f t="shared" si="2"/>
        <v>208.15</v>
      </c>
      <c r="E30">
        <f t="shared" si="2"/>
        <v>159.76426584916666</v>
      </c>
      <c r="F30">
        <f t="shared" si="2"/>
        <v>261.81333333333333</v>
      </c>
      <c r="G30">
        <f t="shared" si="2"/>
        <v>1632.69605700491</v>
      </c>
      <c r="H30">
        <f t="shared" si="2"/>
        <v>1902.35</v>
      </c>
      <c r="I30">
        <f t="shared" si="2"/>
        <v>313.42156613681999</v>
      </c>
      <c r="J30">
        <f t="shared" si="2"/>
        <v>517.11099999999999</v>
      </c>
      <c r="K30">
        <f t="shared" si="2"/>
        <v>16455.724614798535</v>
      </c>
      <c r="L30">
        <f t="shared" si="2"/>
        <v>31356.408666666666</v>
      </c>
      <c r="M30">
        <f t="shared" si="0"/>
        <v>18676.859405494131</v>
      </c>
      <c r="N30">
        <f t="shared" si="0"/>
        <v>34245.832999999999</v>
      </c>
    </row>
    <row r="31" spans="1:14" x14ac:dyDescent="0.2">
      <c r="A31" t="s">
        <v>401</v>
      </c>
      <c r="B31">
        <v>2019</v>
      </c>
      <c r="C31">
        <f t="shared" si="2"/>
        <v>153.09588897067999</v>
      </c>
      <c r="D31">
        <f t="shared" si="2"/>
        <v>232.5</v>
      </c>
      <c r="E31">
        <f t="shared" si="2"/>
        <v>192.01447551828002</v>
      </c>
      <c r="F31">
        <f t="shared" si="2"/>
        <v>236.00399999999999</v>
      </c>
      <c r="G31">
        <f t="shared" si="2"/>
        <v>1636.1378313211399</v>
      </c>
      <c r="H31">
        <f t="shared" si="2"/>
        <v>1826.011</v>
      </c>
      <c r="I31">
        <f t="shared" si="2"/>
        <v>440.49726362946296</v>
      </c>
      <c r="J31">
        <f t="shared" si="2"/>
        <v>772.32827921279204</v>
      </c>
      <c r="K31">
        <f t="shared" si="2"/>
        <v>17825.384705897231</v>
      </c>
      <c r="L31">
        <f t="shared" si="2"/>
        <v>32818.477888864465</v>
      </c>
      <c r="M31">
        <f t="shared" si="0"/>
        <v>20247.130165336795</v>
      </c>
      <c r="N31">
        <f t="shared" si="0"/>
        <v>35885.321168077258</v>
      </c>
    </row>
    <row r="32" spans="1:14" x14ac:dyDescent="0.2">
      <c r="A32" t="s">
        <v>401</v>
      </c>
      <c r="B32">
        <v>2020</v>
      </c>
      <c r="C32">
        <f t="shared" si="2"/>
        <v>120.94699652742</v>
      </c>
      <c r="D32">
        <f t="shared" si="2"/>
        <v>243.12</v>
      </c>
      <c r="E32">
        <f t="shared" si="2"/>
        <v>88.806764284500005</v>
      </c>
      <c r="F32">
        <f t="shared" si="2"/>
        <v>178.56900000000002</v>
      </c>
      <c r="G32">
        <f t="shared" si="2"/>
        <v>1324.2595203587</v>
      </c>
      <c r="H32">
        <f t="shared" si="2"/>
        <v>1494.3525</v>
      </c>
      <c r="I32">
        <f t="shared" si="2"/>
        <v>8.3005510536287996</v>
      </c>
      <c r="J32">
        <f t="shared" si="2"/>
        <v>500.85216374579568</v>
      </c>
      <c r="K32">
        <f t="shared" si="2"/>
        <v>13225.484928332378</v>
      </c>
      <c r="L32">
        <f t="shared" si="2"/>
        <v>25862.051347734101</v>
      </c>
      <c r="M32">
        <f t="shared" si="0"/>
        <v>14767.798760556627</v>
      </c>
      <c r="N32">
        <f t="shared" si="0"/>
        <v>28278.945011479896</v>
      </c>
    </row>
    <row r="35" spans="1:14" x14ac:dyDescent="0.2">
      <c r="A35" t="s">
        <v>406</v>
      </c>
      <c r="B35" t="s">
        <v>400</v>
      </c>
      <c r="C35">
        <f>SUM(C3:C12)</f>
        <v>2.38</v>
      </c>
      <c r="D35">
        <f t="shared" ref="D35:L35" si="3">SUM(D3:D12)</f>
        <v>14</v>
      </c>
      <c r="E35">
        <f t="shared" si="3"/>
        <v>226.4256</v>
      </c>
      <c r="F35">
        <f t="shared" si="3"/>
        <v>283.03200000000004</v>
      </c>
      <c r="G35">
        <f t="shared" si="3"/>
        <v>6487.1482350000006</v>
      </c>
      <c r="H35">
        <f t="shared" si="3"/>
        <v>7193.4535000000005</v>
      </c>
      <c r="I35">
        <f t="shared" si="3"/>
        <v>44.19</v>
      </c>
      <c r="J35">
        <f t="shared" si="3"/>
        <v>66.299999999999983</v>
      </c>
      <c r="K35">
        <f t="shared" si="3"/>
        <v>30394.164450000004</v>
      </c>
      <c r="L35">
        <f t="shared" si="3"/>
        <v>66050.002000000008</v>
      </c>
      <c r="M35">
        <f>SUM(M3:M12)</f>
        <v>37154.308285000006</v>
      </c>
      <c r="N35">
        <f>SUM(N3:N12)</f>
        <v>73606.787500000006</v>
      </c>
    </row>
    <row r="36" spans="1:14" x14ac:dyDescent="0.2">
      <c r="A36" t="s">
        <v>405</v>
      </c>
      <c r="B36" t="s">
        <v>400</v>
      </c>
      <c r="C36">
        <f>SUM(C13:C22)</f>
        <v>1931.7986802066059</v>
      </c>
      <c r="D36">
        <f t="shared" ref="D36:L36" si="4">SUM(D13:D22)</f>
        <v>2755.9282797814849</v>
      </c>
      <c r="E36">
        <f t="shared" si="4"/>
        <v>1071.6730565584571</v>
      </c>
      <c r="F36">
        <f t="shared" si="4"/>
        <v>1886.485484844789</v>
      </c>
      <c r="G36">
        <f t="shared" si="4"/>
        <v>7893.4351160892747</v>
      </c>
      <c r="H36">
        <f t="shared" si="4"/>
        <v>9848.261660640268</v>
      </c>
      <c r="I36">
        <f t="shared" si="4"/>
        <v>3902.4449848290697</v>
      </c>
      <c r="J36">
        <f t="shared" si="4"/>
        <v>7031.068100057706</v>
      </c>
      <c r="K36">
        <f t="shared" si="4"/>
        <v>136819.49945224667</v>
      </c>
      <c r="L36">
        <f t="shared" si="4"/>
        <v>202129.19300138121</v>
      </c>
      <c r="M36">
        <f>SUM(M13:M22)</f>
        <v>151618.85128993008</v>
      </c>
      <c r="N36">
        <f>SUM(N13:N22)</f>
        <v>223650.93652670545</v>
      </c>
    </row>
    <row r="37" spans="1:14" x14ac:dyDescent="0.2">
      <c r="A37" t="s">
        <v>401</v>
      </c>
      <c r="B37" t="s">
        <v>400</v>
      </c>
      <c r="C37">
        <f>SUM(C23:C32)</f>
        <v>1934.1786802066056</v>
      </c>
      <c r="D37">
        <f t="shared" ref="D37:L37" si="5">SUM(D23:D32)</f>
        <v>2769.9282797814849</v>
      </c>
      <c r="E37">
        <f t="shared" si="5"/>
        <v>1298.0986565584572</v>
      </c>
      <c r="F37">
        <f t="shared" si="5"/>
        <v>2169.5174848447891</v>
      </c>
      <c r="G37">
        <f t="shared" si="5"/>
        <v>14380.583351089273</v>
      </c>
      <c r="H37">
        <f t="shared" si="5"/>
        <v>17041.715160640269</v>
      </c>
      <c r="I37">
        <f t="shared" si="5"/>
        <v>3946.6349848290693</v>
      </c>
      <c r="J37">
        <f t="shared" si="5"/>
        <v>7097.3681000577071</v>
      </c>
      <c r="K37">
        <f t="shared" si="5"/>
        <v>167213.66390224668</v>
      </c>
      <c r="L37">
        <f t="shared" si="5"/>
        <v>268179.19500138116</v>
      </c>
      <c r="M37">
        <f>SUM(M23:M32)</f>
        <v>188773.15957493006</v>
      </c>
      <c r="N37">
        <f>SUM(N23:N32)</f>
        <v>297257.72402670543</v>
      </c>
    </row>
  </sheetData>
  <mergeCells count="3">
    <mergeCell ref="M1:N1"/>
    <mergeCell ref="P1:R1"/>
    <mergeCell ref="T1:V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304A-0264-4AC5-985B-4EF8760D3C8E}">
  <dimension ref="A1:V37"/>
  <sheetViews>
    <sheetView topLeftCell="C1" workbookViewId="0">
      <selection activeCell="A2" sqref="A2:N32"/>
    </sheetView>
  </sheetViews>
  <sheetFormatPr baseColWidth="10" defaultColWidth="8.83203125" defaultRowHeight="15" x14ac:dyDescent="0.2"/>
  <cols>
    <col min="1" max="1" width="13.6640625" bestFit="1" customWidth="1"/>
    <col min="2" max="2" width="20" bestFit="1" customWidth="1"/>
    <col min="3" max="3" width="14" bestFit="1" customWidth="1"/>
    <col min="4" max="4" width="20" bestFit="1" customWidth="1"/>
    <col min="5" max="5" width="14" bestFit="1" customWidth="1"/>
    <col min="6" max="6" width="20" bestFit="1" customWidth="1"/>
    <col min="7" max="7" width="14" bestFit="1" customWidth="1"/>
    <col min="8" max="8" width="20" bestFit="1" customWidth="1"/>
    <col min="9" max="9" width="14" bestFit="1" customWidth="1"/>
    <col min="10" max="10" width="20" bestFit="1" customWidth="1"/>
    <col min="11" max="11" width="14" bestFit="1" customWidth="1"/>
    <col min="12" max="12" width="12" bestFit="1" customWidth="1"/>
    <col min="13" max="13" width="18.1640625" bestFit="1" customWidth="1"/>
    <col min="14" max="14" width="12" bestFit="1" customWidth="1"/>
    <col min="20" max="20" width="10.83203125" bestFit="1" customWidth="1"/>
    <col min="21" max="21" width="13.1640625" bestFit="1" customWidth="1"/>
  </cols>
  <sheetData>
    <row r="1" spans="1:22" ht="17" thickBot="1" x14ac:dyDescent="0.25">
      <c r="B1" s="1"/>
      <c r="C1" s="1" t="str">
        <f>CombinedRAW!L5</f>
        <v>Chinook</v>
      </c>
      <c r="D1" s="1" t="str">
        <f>CombinedRAW!M5</f>
        <v>Chinook</v>
      </c>
      <c r="E1" s="1" t="str">
        <f>CombinedRAW!N5</f>
        <v>Chum</v>
      </c>
      <c r="F1" s="1" t="str">
        <f>CombinedRAW!O5</f>
        <v>Chum</v>
      </c>
      <c r="G1" s="1" t="str">
        <f>CombinedRAW!P5</f>
        <v>Coho</v>
      </c>
      <c r="H1" s="1" t="str">
        <f>CombinedRAW!Q5</f>
        <v>Coho</v>
      </c>
      <c r="I1" s="1" t="str">
        <f>CombinedRAW!R5</f>
        <v>Pink</v>
      </c>
      <c r="J1" s="1" t="str">
        <f>CombinedRAW!S5</f>
        <v>Pink</v>
      </c>
      <c r="K1" s="1" t="str">
        <f>CombinedRAW!T5</f>
        <v>Sockeye</v>
      </c>
      <c r="L1" s="1" t="str">
        <f>CombinedRAW!U5</f>
        <v>Sockeye</v>
      </c>
      <c r="M1" s="119" t="s">
        <v>403</v>
      </c>
      <c r="N1" s="119"/>
      <c r="P1" s="135" t="s">
        <v>366</v>
      </c>
      <c r="Q1" s="136"/>
      <c r="R1" s="137"/>
      <c r="T1" s="138" t="s">
        <v>404</v>
      </c>
      <c r="U1" s="139"/>
      <c r="V1" s="140"/>
    </row>
    <row r="2" spans="1:22" x14ac:dyDescent="0.2">
      <c r="A2" s="1" t="str">
        <f>CombinedRAW!J6</f>
        <v>Forest</v>
      </c>
      <c r="B2" s="1" t="str">
        <f>CombinedRAW!K6</f>
        <v>Year</v>
      </c>
      <c r="C2" s="1" t="s">
        <v>328</v>
      </c>
      <c r="D2" s="1" t="s">
        <v>329</v>
      </c>
      <c r="E2" s="1" t="s">
        <v>328</v>
      </c>
      <c r="F2" s="1" t="s">
        <v>329</v>
      </c>
      <c r="G2" s="1" t="s">
        <v>328</v>
      </c>
      <c r="H2" s="1" t="s">
        <v>329</v>
      </c>
      <c r="I2" s="1" t="s">
        <v>328</v>
      </c>
      <c r="J2" s="1" t="s">
        <v>329</v>
      </c>
      <c r="K2" s="1" t="s">
        <v>328</v>
      </c>
      <c r="L2" s="1" t="s">
        <v>329</v>
      </c>
      <c r="M2" s="1" t="s">
        <v>402</v>
      </c>
      <c r="N2" s="1" t="s">
        <v>362</v>
      </c>
      <c r="P2" s="47" t="s">
        <v>3</v>
      </c>
      <c r="Q2" s="1" t="s">
        <v>363</v>
      </c>
      <c r="R2" s="48" t="s">
        <v>364</v>
      </c>
      <c r="T2" s="53"/>
      <c r="U2" s="1" t="s">
        <v>328</v>
      </c>
      <c r="V2" s="48" t="s">
        <v>329</v>
      </c>
    </row>
    <row r="3" spans="1:22" x14ac:dyDescent="0.2">
      <c r="A3" t="s">
        <v>330</v>
      </c>
      <c r="B3">
        <v>2011</v>
      </c>
      <c r="C3">
        <f>CombinedRAW!L7</f>
        <v>211.31</v>
      </c>
      <c r="D3">
        <f>CombinedRAW!M7</f>
        <v>1243</v>
      </c>
      <c r="E3">
        <f>CombinedRAW!N7</f>
        <v>0</v>
      </c>
      <c r="F3">
        <f>CombinedRAW!O7</f>
        <v>0</v>
      </c>
      <c r="G3">
        <f>CombinedRAW!P7</f>
        <v>1043.9000000000001</v>
      </c>
      <c r="H3">
        <f>CombinedRAW!Q7</f>
        <v>4745</v>
      </c>
      <c r="I3">
        <f>CombinedRAW!R7</f>
        <v>156.56</v>
      </c>
      <c r="J3">
        <f>CombinedRAW!S7</f>
        <v>3914</v>
      </c>
      <c r="K3">
        <f>CombinedRAW!T7</f>
        <v>274260.15000000002</v>
      </c>
      <c r="L3">
        <f>CombinedRAW!U7</f>
        <v>537765</v>
      </c>
      <c r="M3">
        <f>SUM(C3,E3,G3,I3,K3)</f>
        <v>275671.92000000004</v>
      </c>
      <c r="N3">
        <f>SUM(D3,F3,H3,J3,L3)</f>
        <v>547667</v>
      </c>
      <c r="P3" s="47" t="s">
        <v>9</v>
      </c>
      <c r="Q3">
        <f>(C37/M37)*100</f>
        <v>3.773449967984157E-2</v>
      </c>
      <c r="R3" s="49">
        <f>(D37/N37)*100</f>
        <v>9.8084062817550999E-2</v>
      </c>
      <c r="T3" s="47" t="s">
        <v>330</v>
      </c>
      <c r="U3">
        <f>M35/M37</f>
        <v>0.98648988224123224</v>
      </c>
      <c r="V3" s="49">
        <f>N35/N37</f>
        <v>0.99026660397995281</v>
      </c>
    </row>
    <row r="4" spans="1:22" ht="16" thickBot="1" x14ac:dyDescent="0.25">
      <c r="A4" t="s">
        <v>330</v>
      </c>
      <c r="B4">
        <v>2012</v>
      </c>
      <c r="C4">
        <f>CombinedRAW!L8</f>
        <v>6.8000000000000007</v>
      </c>
      <c r="D4">
        <f>CombinedRAW!M8</f>
        <v>40</v>
      </c>
      <c r="E4">
        <f>CombinedRAW!N8</f>
        <v>0</v>
      </c>
      <c r="F4">
        <f>CombinedRAW!O8</f>
        <v>0</v>
      </c>
      <c r="G4">
        <f>CombinedRAW!P8</f>
        <v>881.76</v>
      </c>
      <c r="H4">
        <f>CombinedRAW!Q8</f>
        <v>4008</v>
      </c>
      <c r="I4">
        <f>CombinedRAW!R8</f>
        <v>150.80000000000001</v>
      </c>
      <c r="J4">
        <f>CombinedRAW!S8</f>
        <v>3770</v>
      </c>
      <c r="K4">
        <f>CombinedRAW!T8</f>
        <v>268765.92</v>
      </c>
      <c r="L4">
        <f>CombinedRAW!U8</f>
        <v>526992</v>
      </c>
      <c r="M4">
        <f t="shared" ref="M4:N32" si="0">SUM(C4,E4,G4,I4,K4)</f>
        <v>269805.27999999997</v>
      </c>
      <c r="N4">
        <f t="shared" si="0"/>
        <v>534810</v>
      </c>
      <c r="P4" s="47" t="s">
        <v>53</v>
      </c>
      <c r="Q4">
        <f>E37/M37*100</f>
        <v>0.1473594887625459</v>
      </c>
      <c r="R4" s="49">
        <f>F37/N37*100</f>
        <v>8.7634444559916189E-2</v>
      </c>
      <c r="T4" s="50" t="s">
        <v>331</v>
      </c>
      <c r="U4" s="51">
        <f>M36/M37</f>
        <v>1.351011775876774E-2</v>
      </c>
      <c r="V4" s="52">
        <f>N36/N37</f>
        <v>9.7333960200471428E-3</v>
      </c>
    </row>
    <row r="5" spans="1:22" x14ac:dyDescent="0.2">
      <c r="A5" t="s">
        <v>330</v>
      </c>
      <c r="B5">
        <v>2013</v>
      </c>
      <c r="C5">
        <f>CombinedRAW!L9</f>
        <v>1.87</v>
      </c>
      <c r="D5">
        <f>CombinedRAW!M9</f>
        <v>11</v>
      </c>
      <c r="E5">
        <f>CombinedRAW!N9</f>
        <v>0</v>
      </c>
      <c r="F5">
        <f>CombinedRAW!O9</f>
        <v>0</v>
      </c>
      <c r="G5">
        <f>CombinedRAW!P9</f>
        <v>697.18</v>
      </c>
      <c r="H5">
        <f>CombinedRAW!Q9</f>
        <v>3169</v>
      </c>
      <c r="I5">
        <f>CombinedRAW!R9</f>
        <v>145</v>
      </c>
      <c r="J5">
        <f>CombinedRAW!S9</f>
        <v>3625</v>
      </c>
      <c r="K5">
        <f>CombinedRAW!T9</f>
        <v>177083.22</v>
      </c>
      <c r="L5">
        <f>CombinedRAW!U9</f>
        <v>347222</v>
      </c>
      <c r="M5">
        <f t="shared" si="0"/>
        <v>177927.27</v>
      </c>
      <c r="N5">
        <f t="shared" si="0"/>
        <v>354027</v>
      </c>
      <c r="P5" s="47" t="s">
        <v>31</v>
      </c>
      <c r="Q5">
        <f>G37/M37*100</f>
        <v>0.40703848261378056</v>
      </c>
      <c r="R5" s="49">
        <f>H37/N37*100</f>
        <v>0.81746775153368789</v>
      </c>
    </row>
    <row r="6" spans="1:22" x14ac:dyDescent="0.2">
      <c r="A6" t="s">
        <v>330</v>
      </c>
      <c r="B6">
        <v>2014</v>
      </c>
      <c r="C6">
        <f>CombinedRAW!L10</f>
        <v>0</v>
      </c>
      <c r="D6">
        <f>CombinedRAW!M10</f>
        <v>0</v>
      </c>
      <c r="E6">
        <f>CombinedRAW!N10</f>
        <v>0</v>
      </c>
      <c r="F6">
        <f>CombinedRAW!O10</f>
        <v>0</v>
      </c>
      <c r="G6">
        <f>CombinedRAW!P10</f>
        <v>1036.2</v>
      </c>
      <c r="H6">
        <f>CombinedRAW!Q10</f>
        <v>4710</v>
      </c>
      <c r="I6">
        <f>CombinedRAW!R10</f>
        <v>765.6</v>
      </c>
      <c r="J6">
        <f>CombinedRAW!S10</f>
        <v>19140</v>
      </c>
      <c r="K6">
        <f>CombinedRAW!T10</f>
        <v>193709.73</v>
      </c>
      <c r="L6">
        <f>CombinedRAW!U10</f>
        <v>379823</v>
      </c>
      <c r="M6">
        <f t="shared" si="0"/>
        <v>195511.53</v>
      </c>
      <c r="N6">
        <f t="shared" si="0"/>
        <v>403673</v>
      </c>
      <c r="P6" s="47" t="s">
        <v>42</v>
      </c>
      <c r="Q6">
        <f>I37/M37*100</f>
        <v>0.404147924582622</v>
      </c>
      <c r="R6" s="49">
        <f>J37/N37*100</f>
        <v>2.3429451654904878</v>
      </c>
    </row>
    <row r="7" spans="1:22" ht="16" thickBot="1" x14ac:dyDescent="0.25">
      <c r="A7" t="s">
        <v>330</v>
      </c>
      <c r="B7">
        <v>2015</v>
      </c>
      <c r="C7">
        <f>CombinedRAW!L11</f>
        <v>11.22</v>
      </c>
      <c r="D7">
        <f>CombinedRAW!M11</f>
        <v>66</v>
      </c>
      <c r="E7">
        <f>CombinedRAW!N11</f>
        <v>0</v>
      </c>
      <c r="F7">
        <f>CombinedRAW!O11</f>
        <v>0</v>
      </c>
      <c r="G7">
        <f>CombinedRAW!P11</f>
        <v>913</v>
      </c>
      <c r="H7">
        <f>CombinedRAW!Q11</f>
        <v>4150</v>
      </c>
      <c r="I7">
        <f>CombinedRAW!R11</f>
        <v>165.88</v>
      </c>
      <c r="J7">
        <f>CombinedRAW!S11</f>
        <v>4147</v>
      </c>
      <c r="K7">
        <f>CombinedRAW!T11</f>
        <v>192541.32</v>
      </c>
      <c r="L7">
        <f>CombinedRAW!U11</f>
        <v>377532</v>
      </c>
      <c r="M7">
        <f t="shared" si="0"/>
        <v>193631.42</v>
      </c>
      <c r="N7">
        <f t="shared" si="0"/>
        <v>385895</v>
      </c>
      <c r="P7" s="50" t="s">
        <v>20</v>
      </c>
      <c r="Q7" s="51">
        <f>K37/M37*100</f>
        <v>99.003719604361223</v>
      </c>
      <c r="R7" s="52">
        <f>L37/N37*100</f>
        <v>96.653868575598352</v>
      </c>
    </row>
    <row r="8" spans="1:22" x14ac:dyDescent="0.2">
      <c r="A8" t="s">
        <v>330</v>
      </c>
      <c r="B8">
        <v>2016</v>
      </c>
      <c r="C8">
        <f>CombinedRAW!L12</f>
        <v>108.46000000000001</v>
      </c>
      <c r="D8">
        <f>CombinedRAW!M12</f>
        <v>638</v>
      </c>
      <c r="E8">
        <f>CombinedRAW!N12</f>
        <v>0</v>
      </c>
      <c r="F8">
        <f>CombinedRAW!O12</f>
        <v>0</v>
      </c>
      <c r="G8">
        <f>CombinedRAW!P12</f>
        <v>720.94</v>
      </c>
      <c r="H8">
        <f>CombinedRAW!Q12</f>
        <v>3277</v>
      </c>
      <c r="I8">
        <f>CombinedRAW!R12</f>
        <v>313.36</v>
      </c>
      <c r="J8">
        <f>CombinedRAW!S12</f>
        <v>7834</v>
      </c>
      <c r="K8">
        <f>CombinedRAW!T12</f>
        <v>132119.07</v>
      </c>
      <c r="L8">
        <f>CombinedRAW!U12</f>
        <v>259057</v>
      </c>
      <c r="M8">
        <f t="shared" si="0"/>
        <v>133261.83000000002</v>
      </c>
      <c r="N8">
        <f t="shared" si="0"/>
        <v>270806</v>
      </c>
    </row>
    <row r="9" spans="1:22" x14ac:dyDescent="0.2">
      <c r="A9" t="s">
        <v>330</v>
      </c>
      <c r="B9">
        <v>2017</v>
      </c>
      <c r="C9">
        <f>CombinedRAW!L13</f>
        <v>202.98000000000002</v>
      </c>
      <c r="D9">
        <f>CombinedRAW!M13</f>
        <v>1194</v>
      </c>
      <c r="E9">
        <f>CombinedRAW!N13</f>
        <v>0</v>
      </c>
      <c r="F9">
        <f>CombinedRAW!O13</f>
        <v>0</v>
      </c>
      <c r="G9">
        <f>CombinedRAW!P13</f>
        <v>161.04</v>
      </c>
      <c r="H9">
        <f>CombinedRAW!Q13</f>
        <v>732</v>
      </c>
      <c r="I9">
        <f>CombinedRAW!R13</f>
        <v>318.48</v>
      </c>
      <c r="J9">
        <f>CombinedRAW!S13</f>
        <v>7962</v>
      </c>
      <c r="K9">
        <f>CombinedRAW!T13</f>
        <v>151494.99</v>
      </c>
      <c r="L9">
        <f>CombinedRAW!U13</f>
        <v>297049</v>
      </c>
      <c r="M9">
        <f t="shared" si="0"/>
        <v>152177.49</v>
      </c>
      <c r="N9">
        <f t="shared" si="0"/>
        <v>306937</v>
      </c>
    </row>
    <row r="10" spans="1:22" x14ac:dyDescent="0.2">
      <c r="A10" t="s">
        <v>330</v>
      </c>
      <c r="B10">
        <v>2018</v>
      </c>
      <c r="C10">
        <f>CombinedRAW!L14</f>
        <v>1.1900000000000002</v>
      </c>
      <c r="D10">
        <f>CombinedRAW!M14</f>
        <v>7</v>
      </c>
      <c r="E10">
        <f>CombinedRAW!N14</f>
        <v>0</v>
      </c>
      <c r="F10">
        <f>CombinedRAW!O14</f>
        <v>0</v>
      </c>
      <c r="G10">
        <f>CombinedRAW!P14</f>
        <v>116.38</v>
      </c>
      <c r="H10">
        <f>CombinedRAW!Q14</f>
        <v>529</v>
      </c>
      <c r="I10">
        <f>CombinedRAW!R14</f>
        <v>417.40000000000003</v>
      </c>
      <c r="J10">
        <f>CombinedRAW!S14</f>
        <v>10435</v>
      </c>
      <c r="K10">
        <f>CombinedRAW!T14</f>
        <v>84164.28</v>
      </c>
      <c r="L10">
        <f>CombinedRAW!U14</f>
        <v>165028</v>
      </c>
      <c r="M10">
        <f t="shared" si="0"/>
        <v>84699.25</v>
      </c>
      <c r="N10">
        <f t="shared" si="0"/>
        <v>175999</v>
      </c>
    </row>
    <row r="11" spans="1:22" x14ac:dyDescent="0.2">
      <c r="A11" t="s">
        <v>330</v>
      </c>
      <c r="B11">
        <v>2019</v>
      </c>
      <c r="C11">
        <f>CombinedRAW!L15</f>
        <v>5.1000000000000005</v>
      </c>
      <c r="D11">
        <f>CombinedRAW!M15</f>
        <v>30</v>
      </c>
      <c r="E11">
        <f>CombinedRAW!N15</f>
        <v>0</v>
      </c>
      <c r="F11">
        <f>CombinedRAW!O15</f>
        <v>0</v>
      </c>
      <c r="G11">
        <f>CombinedRAW!P15</f>
        <v>214.94</v>
      </c>
      <c r="H11">
        <f>CombinedRAW!Q15</f>
        <v>977</v>
      </c>
      <c r="I11">
        <f>CombinedRAW!R15</f>
        <v>185.24</v>
      </c>
      <c r="J11">
        <f>CombinedRAW!S15</f>
        <v>4631</v>
      </c>
      <c r="K11">
        <f>CombinedRAW!T15</f>
        <v>169018.08000000002</v>
      </c>
      <c r="L11">
        <f>CombinedRAW!U15</f>
        <v>331408</v>
      </c>
      <c r="M11">
        <f t="shared" si="0"/>
        <v>169423.36000000002</v>
      </c>
      <c r="N11">
        <f t="shared" si="0"/>
        <v>337046</v>
      </c>
    </row>
    <row r="12" spans="1:22" x14ac:dyDescent="0.2">
      <c r="A12" t="s">
        <v>330</v>
      </c>
      <c r="B12">
        <v>2020</v>
      </c>
      <c r="C12">
        <f>CombinedRAW!L16</f>
        <v>3.91</v>
      </c>
      <c r="D12">
        <f>CombinedRAW!M16</f>
        <v>23</v>
      </c>
      <c r="E12">
        <f>CombinedRAW!N16</f>
        <v>0</v>
      </c>
      <c r="F12">
        <f>CombinedRAW!O16</f>
        <v>0</v>
      </c>
      <c r="G12">
        <f>CombinedRAW!P16</f>
        <v>225.06</v>
      </c>
      <c r="H12">
        <f>CombinedRAW!Q16</f>
        <v>1023</v>
      </c>
      <c r="I12">
        <f>CombinedRAW!R16</f>
        <v>544.88</v>
      </c>
      <c r="J12">
        <f>CombinedRAW!S16</f>
        <v>13622</v>
      </c>
      <c r="K12">
        <f>CombinedRAW!T16</f>
        <v>131510.64000000001</v>
      </c>
      <c r="L12">
        <f>CombinedRAW!U16</f>
        <v>257864</v>
      </c>
      <c r="M12">
        <f t="shared" si="0"/>
        <v>132284.49000000002</v>
      </c>
      <c r="N12">
        <f t="shared" si="0"/>
        <v>272532</v>
      </c>
    </row>
    <row r="13" spans="1:22" x14ac:dyDescent="0.2">
      <c r="A13" t="s">
        <v>331</v>
      </c>
      <c r="B13">
        <v>2011</v>
      </c>
      <c r="C13">
        <f>CombinedRAW!L17</f>
        <v>2.0269630035703701</v>
      </c>
      <c r="D13">
        <f>CombinedRAW!M17</f>
        <v>3.92592592592593</v>
      </c>
      <c r="E13">
        <f>CombinedRAW!N17</f>
        <v>263.87037383979998</v>
      </c>
      <c r="F13">
        <f>CombinedRAW!O17</f>
        <v>278</v>
      </c>
      <c r="G13">
        <f>CombinedRAW!P17</f>
        <v>70.125360094794999</v>
      </c>
      <c r="H13">
        <f>CombinedRAW!Q17</f>
        <v>127.551867219917</v>
      </c>
      <c r="I13">
        <f>CombinedRAW!R17</f>
        <v>786.85251700159995</v>
      </c>
      <c r="J13">
        <f>CombinedRAW!S17</f>
        <v>1252</v>
      </c>
      <c r="K13">
        <f>CombinedRAW!T17</f>
        <v>2074.85381503279</v>
      </c>
      <c r="L13">
        <f>CombinedRAW!U17</f>
        <v>2790</v>
      </c>
      <c r="M13">
        <f t="shared" si="0"/>
        <v>3197.7290289725552</v>
      </c>
      <c r="N13">
        <f t="shared" si="0"/>
        <v>4451.477793145843</v>
      </c>
    </row>
    <row r="14" spans="1:22" x14ac:dyDescent="0.2">
      <c r="A14" t="s">
        <v>331</v>
      </c>
      <c r="B14">
        <v>2012</v>
      </c>
      <c r="C14">
        <f>CombinedRAW!L18</f>
        <v>1.6213476370153801</v>
      </c>
      <c r="D14">
        <f>CombinedRAW!M18</f>
        <v>3</v>
      </c>
      <c r="E14">
        <f>CombinedRAW!N18</f>
        <v>295.62068809819999</v>
      </c>
      <c r="F14">
        <f>CombinedRAW!O18</f>
        <v>310</v>
      </c>
      <c r="G14">
        <f>CombinedRAW!P18</f>
        <v>63.599059975556102</v>
      </c>
      <c r="H14">
        <f>CombinedRAW!Q18</f>
        <v>116.198863636364</v>
      </c>
      <c r="I14">
        <f>CombinedRAW!R18</f>
        <v>404.5316257568</v>
      </c>
      <c r="J14">
        <f>CombinedRAW!S18</f>
        <v>518</v>
      </c>
      <c r="K14">
        <f>CombinedRAW!T18</f>
        <v>2078.9323259175299</v>
      </c>
      <c r="L14">
        <f>CombinedRAW!U18</f>
        <v>3028</v>
      </c>
      <c r="M14">
        <f t="shared" si="0"/>
        <v>2844.3050473851013</v>
      </c>
      <c r="N14">
        <f t="shared" si="0"/>
        <v>3975.198863636364</v>
      </c>
    </row>
    <row r="15" spans="1:22" x14ac:dyDescent="0.2">
      <c r="A15" t="s">
        <v>331</v>
      </c>
      <c r="B15">
        <v>2013</v>
      </c>
      <c r="C15">
        <f>CombinedRAW!L19</f>
        <v>18.245131714399999</v>
      </c>
      <c r="D15">
        <f>CombinedRAW!M19</f>
        <v>29</v>
      </c>
      <c r="E15">
        <f>CombinedRAW!N19</f>
        <v>344.47795264400003</v>
      </c>
      <c r="F15">
        <f>CombinedRAW!O19</f>
        <v>370</v>
      </c>
      <c r="G15">
        <f>CombinedRAW!P19</f>
        <v>181.58128917880001</v>
      </c>
      <c r="H15">
        <f>CombinedRAW!Q19</f>
        <v>309</v>
      </c>
      <c r="I15">
        <f>CombinedRAW!R19</f>
        <v>525.97908932580003</v>
      </c>
      <c r="J15">
        <f>CombinedRAW!S19</f>
        <v>622</v>
      </c>
      <c r="K15">
        <f>CombinedRAW!T19</f>
        <v>1805.10899305014</v>
      </c>
      <c r="L15">
        <f>CombinedRAW!U19</f>
        <v>2736</v>
      </c>
      <c r="M15">
        <f t="shared" si="0"/>
        <v>2875.3924559131401</v>
      </c>
      <c r="N15">
        <f t="shared" si="0"/>
        <v>4066</v>
      </c>
    </row>
    <row r="16" spans="1:22" x14ac:dyDescent="0.2">
      <c r="A16" t="s">
        <v>331</v>
      </c>
      <c r="B16">
        <v>2014</v>
      </c>
      <c r="C16">
        <f>CombinedRAW!L20</f>
        <v>16.124648542199999</v>
      </c>
      <c r="D16">
        <f>CombinedRAW!M20</f>
        <v>27</v>
      </c>
      <c r="E16">
        <f>CombinedRAW!N20</f>
        <v>196.46413390500001</v>
      </c>
      <c r="F16">
        <f>CombinedRAW!O20</f>
        <v>209</v>
      </c>
      <c r="G16">
        <f>CombinedRAW!P20</f>
        <v>102.300965657855</v>
      </c>
      <c r="H16">
        <f>CombinedRAW!Q20</f>
        <v>197.25451807228899</v>
      </c>
      <c r="I16">
        <f>CombinedRAW!R20</f>
        <v>301.8891146565</v>
      </c>
      <c r="J16">
        <f>CombinedRAW!S20</f>
        <v>387</v>
      </c>
      <c r="K16">
        <f>CombinedRAW!T20</f>
        <v>2183.5697238452999</v>
      </c>
      <c r="L16">
        <f>CombinedRAW!U20</f>
        <v>3057.0954216867499</v>
      </c>
      <c r="M16">
        <f t="shared" si="0"/>
        <v>2800.348586606855</v>
      </c>
      <c r="N16">
        <f t="shared" si="0"/>
        <v>3877.349939759039</v>
      </c>
    </row>
    <row r="17" spans="1:14" x14ac:dyDescent="0.2">
      <c r="A17" t="s">
        <v>331</v>
      </c>
      <c r="B17">
        <v>2015</v>
      </c>
      <c r="C17">
        <f>CombinedRAW!L21</f>
        <v>25.216383908600001</v>
      </c>
      <c r="D17">
        <f>CombinedRAW!M21</f>
        <v>41</v>
      </c>
      <c r="E17">
        <f>CombinedRAW!N21</f>
        <v>278.8919990357</v>
      </c>
      <c r="F17">
        <f>CombinedRAW!O21</f>
        <v>286</v>
      </c>
      <c r="G17">
        <f>CombinedRAW!P21</f>
        <v>151.3564818971</v>
      </c>
      <c r="H17">
        <f>CombinedRAW!Q21</f>
        <v>285</v>
      </c>
      <c r="I17">
        <f>CombinedRAW!R21</f>
        <v>527.11594983129999</v>
      </c>
      <c r="J17">
        <f>CombinedRAW!S21</f>
        <v>778</v>
      </c>
      <c r="K17">
        <f>CombinedRAW!T21</f>
        <v>2125.1028559855399</v>
      </c>
      <c r="L17">
        <f>CombinedRAW!U21</f>
        <v>2854</v>
      </c>
      <c r="M17">
        <f t="shared" si="0"/>
        <v>3107.6836706582399</v>
      </c>
      <c r="N17">
        <f t="shared" si="0"/>
        <v>4244</v>
      </c>
    </row>
    <row r="18" spans="1:14" x14ac:dyDescent="0.2">
      <c r="A18" t="s">
        <v>331</v>
      </c>
      <c r="B18">
        <v>2016</v>
      </c>
      <c r="C18">
        <f>CombinedRAW!L22</f>
        <v>27.544770572800001</v>
      </c>
      <c r="D18">
        <f>CombinedRAW!M22</f>
        <v>57</v>
      </c>
      <c r="E18">
        <f>CombinedRAW!N22</f>
        <v>414.86846243600002</v>
      </c>
      <c r="F18">
        <f>CombinedRAW!O22</f>
        <v>433</v>
      </c>
      <c r="G18">
        <f>CombinedRAW!P22</f>
        <v>105.3549457294</v>
      </c>
      <c r="H18">
        <f>CombinedRAW!Q22</f>
        <v>193</v>
      </c>
      <c r="I18">
        <f>CombinedRAW!R22</f>
        <v>622.79437000200005</v>
      </c>
      <c r="J18">
        <f>CombinedRAW!S22</f>
        <v>906</v>
      </c>
      <c r="K18">
        <f>CombinedRAW!T22</f>
        <v>1597.8690583815701</v>
      </c>
      <c r="L18">
        <f>CombinedRAW!U22</f>
        <v>2404</v>
      </c>
      <c r="M18">
        <f t="shared" si="0"/>
        <v>2768.43160712177</v>
      </c>
      <c r="N18">
        <f t="shared" si="0"/>
        <v>3993</v>
      </c>
    </row>
    <row r="19" spans="1:14" x14ac:dyDescent="0.2">
      <c r="A19" t="s">
        <v>331</v>
      </c>
      <c r="B19">
        <v>2017</v>
      </c>
      <c r="C19">
        <f>CombinedRAW!L23</f>
        <v>1.1112924446000001</v>
      </c>
      <c r="D19">
        <f>CombinedRAW!M23</f>
        <v>2</v>
      </c>
      <c r="E19">
        <f>CombinedRAW!N23</f>
        <v>169.16431988900001</v>
      </c>
      <c r="F19">
        <f>CombinedRAW!O23</f>
        <v>185</v>
      </c>
      <c r="G19">
        <f>CombinedRAW!P23</f>
        <v>4.8184446672450001</v>
      </c>
      <c r="H19">
        <f>CombinedRAW!Q23</f>
        <v>9.5000000000000107</v>
      </c>
      <c r="I19">
        <f>CombinedRAW!R23</f>
        <v>230.54415901620001</v>
      </c>
      <c r="J19">
        <f>CombinedRAW!S23</f>
        <v>395</v>
      </c>
      <c r="K19">
        <f>CombinedRAW!T23</f>
        <v>1165.6140493498301</v>
      </c>
      <c r="L19">
        <f>CombinedRAW!U23</f>
        <v>1778</v>
      </c>
      <c r="M19">
        <f t="shared" si="0"/>
        <v>1571.2522653668752</v>
      </c>
      <c r="N19">
        <f t="shared" si="0"/>
        <v>2369.5</v>
      </c>
    </row>
    <row r="20" spans="1:14" x14ac:dyDescent="0.2">
      <c r="A20" t="s">
        <v>331</v>
      </c>
      <c r="B20">
        <v>2018</v>
      </c>
      <c r="C20">
        <f>CombinedRAW!L24</f>
        <v>8.0361991583000005</v>
      </c>
      <c r="D20">
        <f>CombinedRAW!M24</f>
        <v>24</v>
      </c>
      <c r="E20">
        <f>CombinedRAW!N24</f>
        <v>576.89734213429995</v>
      </c>
      <c r="F20">
        <f>CombinedRAW!O24</f>
        <v>951</v>
      </c>
      <c r="G20">
        <f>CombinedRAW!P24</f>
        <v>171.35596652980001</v>
      </c>
      <c r="H20">
        <f>CombinedRAW!Q24</f>
        <v>303</v>
      </c>
      <c r="I20">
        <f>CombinedRAW!R24</f>
        <v>187.74059773350001</v>
      </c>
      <c r="J20">
        <f>CombinedRAW!S24</f>
        <v>270</v>
      </c>
      <c r="K20">
        <f>CombinedRAW!T24</f>
        <v>705.92062512241205</v>
      </c>
      <c r="L20">
        <f>CombinedRAW!U24</f>
        <v>1138</v>
      </c>
      <c r="M20">
        <f t="shared" si="0"/>
        <v>1649.9507306783119</v>
      </c>
      <c r="N20">
        <f t="shared" si="0"/>
        <v>2686</v>
      </c>
    </row>
    <row r="21" spans="1:14" x14ac:dyDescent="0.2">
      <c r="A21" t="s">
        <v>331</v>
      </c>
      <c r="B21">
        <v>2019</v>
      </c>
      <c r="C21">
        <f>CombinedRAW!L25</f>
        <v>17.319016215000001</v>
      </c>
      <c r="D21">
        <f>CombinedRAW!M25</f>
        <v>89</v>
      </c>
      <c r="E21">
        <f>CombinedRAW!N25</f>
        <v>120.8323091461</v>
      </c>
      <c r="F21">
        <f>CombinedRAW!O25</f>
        <v>149.63</v>
      </c>
      <c r="G21">
        <f>CombinedRAW!P25</f>
        <v>299.466636508877</v>
      </c>
      <c r="H21">
        <f>CombinedRAW!Q25</f>
        <v>444.050652741514</v>
      </c>
      <c r="I21">
        <f>CombinedRAW!R25</f>
        <v>144.03249563070801</v>
      </c>
      <c r="J21">
        <f>CombinedRAW!S25</f>
        <v>229.48358490566</v>
      </c>
      <c r="K21">
        <f>CombinedRAW!T25</f>
        <v>1454.60264831311</v>
      </c>
      <c r="L21">
        <f>CombinedRAW!U25</f>
        <v>2341.27962912463</v>
      </c>
      <c r="M21">
        <f t="shared" si="0"/>
        <v>2036.2531058137949</v>
      </c>
      <c r="N21">
        <f t="shared" si="0"/>
        <v>3253.4438667718041</v>
      </c>
    </row>
    <row r="22" spans="1:14" x14ac:dyDescent="0.2">
      <c r="A22" t="s">
        <v>331</v>
      </c>
      <c r="B22">
        <v>2020</v>
      </c>
      <c r="C22">
        <f>CombinedRAW!L26</f>
        <v>12.4677123415</v>
      </c>
      <c r="D22">
        <f>CombinedRAW!M26</f>
        <v>27.3</v>
      </c>
      <c r="E22">
        <f>CombinedRAW!N26</f>
        <v>4.3970705344100001</v>
      </c>
      <c r="F22">
        <f>CombinedRAW!O26</f>
        <v>4.8315000000000001</v>
      </c>
      <c r="G22">
        <f>CombinedRAW!P26</f>
        <v>202.280589854395</v>
      </c>
      <c r="H22">
        <f>CombinedRAW!Q26</f>
        <v>325.97183520599202</v>
      </c>
      <c r="I22">
        <f>CombinedRAW!R26</f>
        <v>415.674500855708</v>
      </c>
      <c r="J22">
        <f>CombinedRAW!S26</f>
        <v>486.60251121076197</v>
      </c>
      <c r="K22">
        <f>CombinedRAW!T26</f>
        <v>951.35837133373298</v>
      </c>
      <c r="L22">
        <f>CombinedRAW!U26</f>
        <v>1519.6953263274299</v>
      </c>
      <c r="M22">
        <f t="shared" si="0"/>
        <v>1586.178244919746</v>
      </c>
      <c r="N22">
        <f t="shared" si="0"/>
        <v>2364.4011727441839</v>
      </c>
    </row>
    <row r="23" spans="1:14" x14ac:dyDescent="0.2">
      <c r="A23" t="s">
        <v>401</v>
      </c>
      <c r="B23">
        <v>2011</v>
      </c>
      <c r="C23">
        <f>SUM(C3,C13)</f>
        <v>213.33696300357036</v>
      </c>
      <c r="D23">
        <f t="shared" ref="D23:L23" si="1">SUM(D3,D13)</f>
        <v>1246.9259259259259</v>
      </c>
      <c r="E23">
        <f t="shared" si="1"/>
        <v>263.87037383979998</v>
      </c>
      <c r="F23">
        <f t="shared" si="1"/>
        <v>278</v>
      </c>
      <c r="G23">
        <f t="shared" si="1"/>
        <v>1114.0253600947951</v>
      </c>
      <c r="H23">
        <f t="shared" si="1"/>
        <v>4872.5518672199169</v>
      </c>
      <c r="I23">
        <f t="shared" si="1"/>
        <v>943.41251700160001</v>
      </c>
      <c r="J23">
        <f t="shared" si="1"/>
        <v>5166</v>
      </c>
      <c r="K23">
        <f t="shared" si="1"/>
        <v>276335.00381503283</v>
      </c>
      <c r="L23">
        <f t="shared" si="1"/>
        <v>540555</v>
      </c>
      <c r="M23">
        <f t="shared" si="0"/>
        <v>278869.64902897261</v>
      </c>
      <c r="N23">
        <f t="shared" si="0"/>
        <v>552118.47779314581</v>
      </c>
    </row>
    <row r="24" spans="1:14" x14ac:dyDescent="0.2">
      <c r="A24" t="s">
        <v>401</v>
      </c>
      <c r="B24">
        <v>2012</v>
      </c>
      <c r="C24">
        <f t="shared" ref="C24:L32" si="2">SUM(C4,C14)</f>
        <v>8.4213476370153799</v>
      </c>
      <c r="D24">
        <f t="shared" si="2"/>
        <v>43</v>
      </c>
      <c r="E24">
        <f t="shared" si="2"/>
        <v>295.62068809819999</v>
      </c>
      <c r="F24">
        <f t="shared" si="2"/>
        <v>310</v>
      </c>
      <c r="G24">
        <f t="shared" si="2"/>
        <v>945.35905997555608</v>
      </c>
      <c r="H24">
        <f t="shared" si="2"/>
        <v>4124.198863636364</v>
      </c>
      <c r="I24">
        <f t="shared" si="2"/>
        <v>555.33162575680001</v>
      </c>
      <c r="J24">
        <f t="shared" si="2"/>
        <v>4288</v>
      </c>
      <c r="K24">
        <f t="shared" si="2"/>
        <v>270844.85232591751</v>
      </c>
      <c r="L24">
        <f t="shared" si="2"/>
        <v>530020</v>
      </c>
      <c r="M24">
        <f t="shared" si="0"/>
        <v>272649.58504738507</v>
      </c>
      <c r="N24">
        <f t="shared" si="0"/>
        <v>538785.19886363635</v>
      </c>
    </row>
    <row r="25" spans="1:14" x14ac:dyDescent="0.2">
      <c r="A25" t="s">
        <v>401</v>
      </c>
      <c r="B25">
        <v>2013</v>
      </c>
      <c r="C25">
        <f t="shared" si="2"/>
        <v>20.1151317144</v>
      </c>
      <c r="D25">
        <f t="shared" si="2"/>
        <v>40</v>
      </c>
      <c r="E25">
        <f t="shared" si="2"/>
        <v>344.47795264400003</v>
      </c>
      <c r="F25">
        <f t="shared" si="2"/>
        <v>370</v>
      </c>
      <c r="G25">
        <f t="shared" si="2"/>
        <v>878.76128917879998</v>
      </c>
      <c r="H25">
        <f t="shared" si="2"/>
        <v>3478</v>
      </c>
      <c r="I25">
        <f t="shared" si="2"/>
        <v>670.97908932580003</v>
      </c>
      <c r="J25">
        <f t="shared" si="2"/>
        <v>4247</v>
      </c>
      <c r="K25">
        <f t="shared" si="2"/>
        <v>178888.32899305015</v>
      </c>
      <c r="L25">
        <f t="shared" si="2"/>
        <v>349958</v>
      </c>
      <c r="M25">
        <f t="shared" si="0"/>
        <v>180802.66245591315</v>
      </c>
      <c r="N25">
        <f t="shared" si="0"/>
        <v>358093</v>
      </c>
    </row>
    <row r="26" spans="1:14" x14ac:dyDescent="0.2">
      <c r="A26" t="s">
        <v>401</v>
      </c>
      <c r="B26">
        <v>2014</v>
      </c>
      <c r="C26">
        <f t="shared" si="2"/>
        <v>16.124648542199999</v>
      </c>
      <c r="D26">
        <f t="shared" si="2"/>
        <v>27</v>
      </c>
      <c r="E26">
        <f t="shared" si="2"/>
        <v>196.46413390500001</v>
      </c>
      <c r="F26">
        <f t="shared" si="2"/>
        <v>209</v>
      </c>
      <c r="G26">
        <f t="shared" si="2"/>
        <v>1138.500965657855</v>
      </c>
      <c r="H26">
        <f t="shared" si="2"/>
        <v>4907.2545180722891</v>
      </c>
      <c r="I26">
        <f t="shared" si="2"/>
        <v>1067.4891146565001</v>
      </c>
      <c r="J26">
        <f t="shared" si="2"/>
        <v>19527</v>
      </c>
      <c r="K26">
        <f t="shared" si="2"/>
        <v>195893.29972384532</v>
      </c>
      <c r="L26">
        <f t="shared" si="2"/>
        <v>382880.09542168677</v>
      </c>
      <c r="M26">
        <f t="shared" si="0"/>
        <v>198311.87858660688</v>
      </c>
      <c r="N26">
        <f t="shared" si="0"/>
        <v>407550.34993975906</v>
      </c>
    </row>
    <row r="27" spans="1:14" x14ac:dyDescent="0.2">
      <c r="A27" t="s">
        <v>401</v>
      </c>
      <c r="B27">
        <v>2015</v>
      </c>
      <c r="C27">
        <f t="shared" si="2"/>
        <v>36.4363839086</v>
      </c>
      <c r="D27">
        <f t="shared" si="2"/>
        <v>107</v>
      </c>
      <c r="E27">
        <f t="shared" si="2"/>
        <v>278.8919990357</v>
      </c>
      <c r="F27">
        <f t="shared" si="2"/>
        <v>286</v>
      </c>
      <c r="G27">
        <f t="shared" si="2"/>
        <v>1064.3564818970999</v>
      </c>
      <c r="H27">
        <f t="shared" si="2"/>
        <v>4435</v>
      </c>
      <c r="I27">
        <f t="shared" si="2"/>
        <v>692.99594983129998</v>
      </c>
      <c r="J27">
        <f t="shared" si="2"/>
        <v>4925</v>
      </c>
      <c r="K27">
        <f t="shared" si="2"/>
        <v>194666.42285598555</v>
      </c>
      <c r="L27">
        <f t="shared" si="2"/>
        <v>380386</v>
      </c>
      <c r="M27">
        <f t="shared" si="0"/>
        <v>196739.10367065825</v>
      </c>
      <c r="N27">
        <f t="shared" si="0"/>
        <v>390139</v>
      </c>
    </row>
    <row r="28" spans="1:14" x14ac:dyDescent="0.2">
      <c r="A28" t="s">
        <v>401</v>
      </c>
      <c r="B28">
        <v>2016</v>
      </c>
      <c r="C28">
        <f t="shared" si="2"/>
        <v>136.0047705728</v>
      </c>
      <c r="D28">
        <f t="shared" si="2"/>
        <v>695</v>
      </c>
      <c r="E28">
        <f t="shared" si="2"/>
        <v>414.86846243600002</v>
      </c>
      <c r="F28">
        <f t="shared" si="2"/>
        <v>433</v>
      </c>
      <c r="G28">
        <f t="shared" si="2"/>
        <v>826.29494572940007</v>
      </c>
      <c r="H28">
        <f t="shared" si="2"/>
        <v>3470</v>
      </c>
      <c r="I28">
        <f t="shared" si="2"/>
        <v>936.15437000200006</v>
      </c>
      <c r="J28">
        <f t="shared" si="2"/>
        <v>8740</v>
      </c>
      <c r="K28">
        <f t="shared" si="2"/>
        <v>133716.93905838157</v>
      </c>
      <c r="L28">
        <f t="shared" si="2"/>
        <v>261461</v>
      </c>
      <c r="M28">
        <f t="shared" si="0"/>
        <v>136030.26160712176</v>
      </c>
      <c r="N28">
        <f t="shared" si="0"/>
        <v>274799</v>
      </c>
    </row>
    <row r="29" spans="1:14" x14ac:dyDescent="0.2">
      <c r="A29" t="s">
        <v>401</v>
      </c>
      <c r="B29">
        <v>2017</v>
      </c>
      <c r="C29">
        <f t="shared" si="2"/>
        <v>204.09129244460001</v>
      </c>
      <c r="D29">
        <f t="shared" si="2"/>
        <v>1196</v>
      </c>
      <c r="E29">
        <f t="shared" si="2"/>
        <v>169.16431988900001</v>
      </c>
      <c r="F29">
        <f t="shared" si="2"/>
        <v>185</v>
      </c>
      <c r="G29">
        <f t="shared" si="2"/>
        <v>165.85844466724498</v>
      </c>
      <c r="H29">
        <f t="shared" si="2"/>
        <v>741.5</v>
      </c>
      <c r="I29">
        <f t="shared" si="2"/>
        <v>549.02415901619997</v>
      </c>
      <c r="J29">
        <f t="shared" si="2"/>
        <v>8357</v>
      </c>
      <c r="K29">
        <f t="shared" si="2"/>
        <v>152660.60404934981</v>
      </c>
      <c r="L29">
        <f t="shared" si="2"/>
        <v>298827</v>
      </c>
      <c r="M29">
        <f t="shared" si="0"/>
        <v>153748.74226536686</v>
      </c>
      <c r="N29">
        <f t="shared" si="0"/>
        <v>309306.5</v>
      </c>
    </row>
    <row r="30" spans="1:14" x14ac:dyDescent="0.2">
      <c r="A30" t="s">
        <v>401</v>
      </c>
      <c r="B30">
        <v>2018</v>
      </c>
      <c r="C30">
        <f t="shared" si="2"/>
        <v>9.2261991583</v>
      </c>
      <c r="D30">
        <f t="shared" si="2"/>
        <v>31</v>
      </c>
      <c r="E30">
        <f t="shared" si="2"/>
        <v>576.89734213429995</v>
      </c>
      <c r="F30">
        <f t="shared" si="2"/>
        <v>951</v>
      </c>
      <c r="G30">
        <f t="shared" si="2"/>
        <v>287.73596652980001</v>
      </c>
      <c r="H30">
        <f t="shared" si="2"/>
        <v>832</v>
      </c>
      <c r="I30">
        <f t="shared" si="2"/>
        <v>605.14059773350004</v>
      </c>
      <c r="J30">
        <f t="shared" si="2"/>
        <v>10705</v>
      </c>
      <c r="K30">
        <f t="shared" si="2"/>
        <v>84870.200625122408</v>
      </c>
      <c r="L30">
        <f t="shared" si="2"/>
        <v>166166</v>
      </c>
      <c r="M30">
        <f t="shared" si="0"/>
        <v>86349.200730678305</v>
      </c>
      <c r="N30">
        <f t="shared" si="0"/>
        <v>178685</v>
      </c>
    </row>
    <row r="31" spans="1:14" x14ac:dyDescent="0.2">
      <c r="A31" t="s">
        <v>401</v>
      </c>
      <c r="B31">
        <v>2019</v>
      </c>
      <c r="C31">
        <f t="shared" si="2"/>
        <v>22.419016215000003</v>
      </c>
      <c r="D31">
        <f t="shared" si="2"/>
        <v>119</v>
      </c>
      <c r="E31">
        <f t="shared" si="2"/>
        <v>120.8323091461</v>
      </c>
      <c r="F31">
        <f t="shared" si="2"/>
        <v>149.63</v>
      </c>
      <c r="G31">
        <f t="shared" si="2"/>
        <v>514.406636508877</v>
      </c>
      <c r="H31">
        <f t="shared" si="2"/>
        <v>1421.0506527415141</v>
      </c>
      <c r="I31">
        <f t="shared" si="2"/>
        <v>329.27249563070802</v>
      </c>
      <c r="J31">
        <f t="shared" si="2"/>
        <v>4860.4835849056599</v>
      </c>
      <c r="K31">
        <f t="shared" si="2"/>
        <v>170472.68264831312</v>
      </c>
      <c r="L31">
        <f t="shared" si="2"/>
        <v>333749.27962912462</v>
      </c>
      <c r="M31">
        <f t="shared" si="0"/>
        <v>171459.6131058138</v>
      </c>
      <c r="N31">
        <f t="shared" si="0"/>
        <v>340299.44386677182</v>
      </c>
    </row>
    <row r="32" spans="1:14" x14ac:dyDescent="0.2">
      <c r="A32" t="s">
        <v>401</v>
      </c>
      <c r="B32">
        <v>2020</v>
      </c>
      <c r="C32">
        <f t="shared" si="2"/>
        <v>16.377712341500001</v>
      </c>
      <c r="D32">
        <f t="shared" si="2"/>
        <v>50.3</v>
      </c>
      <c r="E32">
        <f t="shared" si="2"/>
        <v>4.3970705344100001</v>
      </c>
      <c r="F32">
        <f t="shared" si="2"/>
        <v>4.8315000000000001</v>
      </c>
      <c r="G32">
        <f t="shared" si="2"/>
        <v>427.34058985439503</v>
      </c>
      <c r="H32">
        <f t="shared" si="2"/>
        <v>1348.971835205992</v>
      </c>
      <c r="I32">
        <f t="shared" si="2"/>
        <v>960.55450085570806</v>
      </c>
      <c r="J32">
        <f t="shared" si="2"/>
        <v>14108.602511210762</v>
      </c>
      <c r="K32">
        <f t="shared" si="2"/>
        <v>132461.99837133376</v>
      </c>
      <c r="L32">
        <f t="shared" si="2"/>
        <v>259383.69532632743</v>
      </c>
      <c r="M32">
        <f t="shared" si="0"/>
        <v>133870.66824491977</v>
      </c>
      <c r="N32">
        <f t="shared" si="0"/>
        <v>274896.40117274417</v>
      </c>
    </row>
    <row r="35" spans="1:14" x14ac:dyDescent="0.2">
      <c r="A35" t="s">
        <v>406</v>
      </c>
      <c r="B35" t="s">
        <v>400</v>
      </c>
      <c r="C35">
        <f>SUM(C3:C12)</f>
        <v>552.84000000000015</v>
      </c>
      <c r="D35">
        <f t="shared" ref="D35:N35" si="3">SUM(D3:D12)</f>
        <v>3252</v>
      </c>
      <c r="E35">
        <f t="shared" si="3"/>
        <v>0</v>
      </c>
      <c r="F35">
        <f t="shared" si="3"/>
        <v>0</v>
      </c>
      <c r="G35">
        <f t="shared" si="3"/>
        <v>6010.4</v>
      </c>
      <c r="H35">
        <f t="shared" si="3"/>
        <v>27320</v>
      </c>
      <c r="I35">
        <f t="shared" si="3"/>
        <v>3163.2000000000007</v>
      </c>
      <c r="J35">
        <f t="shared" si="3"/>
        <v>79080</v>
      </c>
      <c r="K35">
        <f t="shared" si="3"/>
        <v>1774667.4000000004</v>
      </c>
      <c r="L35">
        <f t="shared" si="3"/>
        <v>3479740</v>
      </c>
      <c r="M35">
        <f t="shared" si="3"/>
        <v>1784393.84</v>
      </c>
      <c r="N35">
        <f t="shared" si="3"/>
        <v>3589392</v>
      </c>
    </row>
    <row r="36" spans="1:14" x14ac:dyDescent="0.2">
      <c r="A36" t="s">
        <v>405</v>
      </c>
      <c r="B36" t="s">
        <v>400</v>
      </c>
      <c r="C36">
        <f>SUM(C13:C22)</f>
        <v>129.71346553798577</v>
      </c>
      <c r="D36">
        <f t="shared" ref="D36:N36" si="4">SUM(D13:D22)</f>
        <v>303.22592592592594</v>
      </c>
      <c r="E36">
        <f t="shared" si="4"/>
        <v>2665.4846516625098</v>
      </c>
      <c r="F36">
        <f t="shared" si="4"/>
        <v>3176.4614999999999</v>
      </c>
      <c r="G36">
        <f t="shared" si="4"/>
        <v>1352.239740093823</v>
      </c>
      <c r="H36">
        <f t="shared" si="4"/>
        <v>2310.5277368760762</v>
      </c>
      <c r="I36">
        <f t="shared" si="4"/>
        <v>4147.1544198101165</v>
      </c>
      <c r="J36">
        <f t="shared" si="4"/>
        <v>5844.0860961164217</v>
      </c>
      <c r="K36">
        <f t="shared" si="4"/>
        <v>16142.932466331953</v>
      </c>
      <c r="L36">
        <f t="shared" si="4"/>
        <v>23646.070377138811</v>
      </c>
      <c r="M36">
        <f t="shared" si="4"/>
        <v>24437.524743436388</v>
      </c>
      <c r="N36">
        <f t="shared" si="4"/>
        <v>35280.371636057236</v>
      </c>
    </row>
    <row r="37" spans="1:14" x14ac:dyDescent="0.2">
      <c r="A37" t="s">
        <v>401</v>
      </c>
      <c r="B37" t="s">
        <v>400</v>
      </c>
      <c r="C37">
        <f>SUM(C23:C32)</f>
        <v>682.55346553798586</v>
      </c>
      <c r="D37">
        <f t="shared" ref="D37:N37" si="5">SUM(D23:D32)</f>
        <v>3555.2259259259263</v>
      </c>
      <c r="E37">
        <f t="shared" si="5"/>
        <v>2665.4846516625098</v>
      </c>
      <c r="F37">
        <f t="shared" si="5"/>
        <v>3176.4614999999999</v>
      </c>
      <c r="G37">
        <f t="shared" si="5"/>
        <v>7362.6397400938222</v>
      </c>
      <c r="H37">
        <f t="shared" si="5"/>
        <v>29630.527736876076</v>
      </c>
      <c r="I37">
        <f t="shared" si="5"/>
        <v>7310.3544198101163</v>
      </c>
      <c r="J37">
        <f t="shared" si="5"/>
        <v>84924.086096116414</v>
      </c>
      <c r="K37">
        <f t="shared" si="5"/>
        <v>1790810.3324663322</v>
      </c>
      <c r="L37">
        <f t="shared" si="5"/>
        <v>3503386.0703771389</v>
      </c>
      <c r="M37">
        <f t="shared" si="5"/>
        <v>1808831.3647434365</v>
      </c>
      <c r="N37">
        <f t="shared" si="5"/>
        <v>3624672.3716360573</v>
      </c>
    </row>
  </sheetData>
  <mergeCells count="3">
    <mergeCell ref="M1:N1"/>
    <mergeCell ref="P1:R1"/>
    <mergeCell ref="T1:V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5FD4-D91B-4B04-AC6E-BB1C10777B6E}">
  <dimension ref="A1:W85"/>
  <sheetViews>
    <sheetView topLeftCell="A45" workbookViewId="0">
      <selection activeCell="Q67" sqref="Q67"/>
    </sheetView>
  </sheetViews>
  <sheetFormatPr baseColWidth="10" defaultColWidth="8.83203125" defaultRowHeight="15" x14ac:dyDescent="0.2"/>
  <cols>
    <col min="1" max="1" width="12.5" bestFit="1" customWidth="1"/>
    <col min="2" max="2" width="13.6640625" bestFit="1" customWidth="1"/>
    <col min="3" max="3" width="22.83203125" bestFit="1" customWidth="1"/>
    <col min="4" max="4" width="12.1640625" bestFit="1" customWidth="1"/>
    <col min="5" max="5" width="12" bestFit="1" customWidth="1"/>
    <col min="6" max="6" width="12.1640625" bestFit="1" customWidth="1"/>
    <col min="7" max="7" width="12" bestFit="1" customWidth="1"/>
    <col min="8" max="8" width="12.1640625" bestFit="1" customWidth="1"/>
    <col min="9" max="9" width="12" bestFit="1" customWidth="1"/>
    <col min="10" max="10" width="12.6640625" bestFit="1" customWidth="1"/>
    <col min="11" max="11" width="12" bestFit="1" customWidth="1"/>
    <col min="12" max="12" width="12.1640625" bestFit="1" customWidth="1"/>
    <col min="13" max="13" width="12" bestFit="1" customWidth="1"/>
    <col min="14" max="14" width="18.1640625" bestFit="1" customWidth="1"/>
    <col min="15" max="15" width="12" bestFit="1" customWidth="1"/>
    <col min="17" max="17" width="8.83203125" bestFit="1" customWidth="1"/>
    <col min="18" max="18" width="12.83203125" bestFit="1" customWidth="1"/>
    <col min="19" max="19" width="14.33203125" bestFit="1" customWidth="1"/>
    <col min="20" max="20" width="13.83203125" bestFit="1" customWidth="1"/>
  </cols>
  <sheetData>
    <row r="1" spans="1:23" ht="17" thickBot="1" x14ac:dyDescent="0.25">
      <c r="C1" s="1"/>
      <c r="D1" s="1" t="str">
        <f>CombinedRAW!L5</f>
        <v>Chinook</v>
      </c>
      <c r="E1" s="1" t="str">
        <f>CombinedRAW!M5</f>
        <v>Chinook</v>
      </c>
      <c r="F1" s="1" t="str">
        <f>CombinedRAW!N5</f>
        <v>Chum</v>
      </c>
      <c r="G1" s="1" t="str">
        <f>CombinedRAW!O5</f>
        <v>Chum</v>
      </c>
      <c r="H1" s="1" t="str">
        <f>CombinedRAW!P5</f>
        <v>Coho</v>
      </c>
      <c r="I1" s="1" t="str">
        <f>CombinedRAW!Q5</f>
        <v>Coho</v>
      </c>
      <c r="J1" s="1" t="str">
        <f>CombinedRAW!R5</f>
        <v>Pink</v>
      </c>
      <c r="K1" s="1" t="str">
        <f>CombinedRAW!S5</f>
        <v>Pink</v>
      </c>
      <c r="L1" s="1" t="str">
        <f>CombinedRAW!T5</f>
        <v>Sockeye</v>
      </c>
      <c r="M1" s="1" t="str">
        <f>CombinedRAW!U5</f>
        <v>Sockeye</v>
      </c>
      <c r="N1" s="119" t="s">
        <v>403</v>
      </c>
      <c r="O1" s="119"/>
      <c r="Q1" s="135" t="s">
        <v>366</v>
      </c>
      <c r="R1" s="136"/>
      <c r="S1" s="137"/>
      <c r="U1" s="138" t="s">
        <v>404</v>
      </c>
      <c r="V1" s="139"/>
      <c r="W1" s="140"/>
    </row>
    <row r="2" spans="1:23" x14ac:dyDescent="0.2">
      <c r="A2" t="s">
        <v>2</v>
      </c>
      <c r="B2" s="1" t="str">
        <f>CombinedRAW!J6</f>
        <v>Forest</v>
      </c>
      <c r="C2" s="1" t="str">
        <f>CombinedRAW!K6</f>
        <v>Year</v>
      </c>
      <c r="D2" s="1" t="s">
        <v>328</v>
      </c>
      <c r="E2" s="1" t="s">
        <v>329</v>
      </c>
      <c r="F2" s="1" t="s">
        <v>328</v>
      </c>
      <c r="G2" s="1" t="s">
        <v>329</v>
      </c>
      <c r="H2" s="1" t="s">
        <v>328</v>
      </c>
      <c r="I2" s="1" t="s">
        <v>329</v>
      </c>
      <c r="J2" s="1" t="s">
        <v>328</v>
      </c>
      <c r="K2" s="1" t="s">
        <v>329</v>
      </c>
      <c r="L2" s="1" t="s">
        <v>328</v>
      </c>
      <c r="M2" s="1" t="s">
        <v>329</v>
      </c>
      <c r="N2" s="1" t="s">
        <v>402</v>
      </c>
      <c r="O2" s="1" t="s">
        <v>362</v>
      </c>
      <c r="Q2" s="47" t="s">
        <v>3</v>
      </c>
      <c r="R2" s="1" t="s">
        <v>363</v>
      </c>
      <c r="S2" s="48" t="s">
        <v>364</v>
      </c>
      <c r="U2" s="53"/>
      <c r="V2" s="1" t="s">
        <v>328</v>
      </c>
      <c r="W2" s="48" t="s">
        <v>329</v>
      </c>
    </row>
    <row r="3" spans="1:23" x14ac:dyDescent="0.2">
      <c r="A3" t="s">
        <v>68</v>
      </c>
      <c r="B3" t="s">
        <v>330</v>
      </c>
      <c r="C3">
        <v>2011</v>
      </c>
      <c r="D3">
        <f>Subsistence!C3</f>
        <v>0</v>
      </c>
      <c r="E3">
        <f>Subsistence!D3</f>
        <v>0</v>
      </c>
      <c r="F3">
        <f>Subsistence!E3</f>
        <v>28.539733333333334</v>
      </c>
      <c r="G3">
        <f>Subsistence!F3</f>
        <v>35.674666666666667</v>
      </c>
      <c r="H3">
        <f>Subsistence!G3</f>
        <v>913.65</v>
      </c>
      <c r="I3">
        <f>Subsistence!H3</f>
        <v>1139</v>
      </c>
      <c r="J3">
        <f>Subsistence!I3</f>
        <v>12.6435</v>
      </c>
      <c r="K3">
        <f>Subsistence!J3</f>
        <v>14.048333333333332</v>
      </c>
      <c r="L3">
        <f>Subsistence!K3</f>
        <v>1838.7519466666668</v>
      </c>
      <c r="M3">
        <f>Subsistence!L3</f>
        <v>3917.2713333333336</v>
      </c>
      <c r="N3">
        <f>Subsistence!M3</f>
        <v>2793.58518</v>
      </c>
      <c r="O3">
        <f>Subsistence!N3</f>
        <v>5105.994333333334</v>
      </c>
      <c r="Q3" s="47" t="s">
        <v>9</v>
      </c>
      <c r="R3">
        <f>(D48/N48)*100</f>
        <v>0.1309935031628689</v>
      </c>
      <c r="S3" s="49">
        <f>(E48/O48)*100</f>
        <v>0.1612765666757385</v>
      </c>
      <c r="U3" s="47" t="s">
        <v>330</v>
      </c>
      <c r="V3">
        <f>N46/N48</f>
        <v>0.91186625085691508</v>
      </c>
      <c r="W3" s="49">
        <f>O46/O48</f>
        <v>0.93397860190085658</v>
      </c>
    </row>
    <row r="4" spans="1:23" ht="16" thickBot="1" x14ac:dyDescent="0.25">
      <c r="A4" t="s">
        <v>68</v>
      </c>
      <c r="B4" t="s">
        <v>330</v>
      </c>
      <c r="C4">
        <v>2012</v>
      </c>
      <c r="D4">
        <f>Subsistence!C4</f>
        <v>0</v>
      </c>
      <c r="E4">
        <f>Subsistence!D4</f>
        <v>0</v>
      </c>
      <c r="F4">
        <f>Subsistence!E4</f>
        <v>20.125600000000002</v>
      </c>
      <c r="G4">
        <f>Subsistence!F4</f>
        <v>25.157</v>
      </c>
      <c r="H4">
        <f>Subsistence!G4</f>
        <v>485.95</v>
      </c>
      <c r="I4">
        <f>Subsistence!H4</f>
        <v>523</v>
      </c>
      <c r="J4">
        <f>Subsistence!I4</f>
        <v>0</v>
      </c>
      <c r="K4">
        <f>Subsistence!J4</f>
        <v>0</v>
      </c>
      <c r="L4">
        <f>Subsistence!K4</f>
        <v>2972.4133333333334</v>
      </c>
      <c r="M4">
        <f>Subsistence!L4</f>
        <v>6665.1666666666661</v>
      </c>
      <c r="N4">
        <f>Subsistence!M4</f>
        <v>3478.4889333333335</v>
      </c>
      <c r="O4">
        <f>Subsistence!N4</f>
        <v>7213.3236666666662</v>
      </c>
      <c r="Q4" s="47" t="s">
        <v>53</v>
      </c>
      <c r="R4">
        <f>F48/N48*100</f>
        <v>0.19841681674071307</v>
      </c>
      <c r="S4" s="49">
        <f>G48/O48*100</f>
        <v>0.13630989983112837</v>
      </c>
      <c r="U4" s="50" t="s">
        <v>331</v>
      </c>
      <c r="V4" s="51">
        <f>N47/N48</f>
        <v>8.8133749143084944E-2</v>
      </c>
      <c r="W4" s="52">
        <f>O47/O48</f>
        <v>6.6021398099143355E-2</v>
      </c>
    </row>
    <row r="5" spans="1:23" x14ac:dyDescent="0.2">
      <c r="A5" t="s">
        <v>68</v>
      </c>
      <c r="B5" t="s">
        <v>330</v>
      </c>
      <c r="C5">
        <v>2013</v>
      </c>
      <c r="D5">
        <f>Subsistence!C5</f>
        <v>0</v>
      </c>
      <c r="E5">
        <f>Subsistence!D5</f>
        <v>0</v>
      </c>
      <c r="F5">
        <f>Subsistence!E5</f>
        <v>119.072</v>
      </c>
      <c r="G5">
        <f>Subsistence!F5</f>
        <v>148.84</v>
      </c>
      <c r="H5">
        <f>Subsistence!G5</f>
        <v>499.68</v>
      </c>
      <c r="I5">
        <f>Subsistence!H5</f>
        <v>611</v>
      </c>
      <c r="J5">
        <f>Subsistence!I5</f>
        <v>0</v>
      </c>
      <c r="K5">
        <f>Subsistence!J5</f>
        <v>0</v>
      </c>
      <c r="L5">
        <f>Subsistence!K5</f>
        <v>3132.5862800000004</v>
      </c>
      <c r="M5">
        <f>Subsistence!L5</f>
        <v>7165.9880000000003</v>
      </c>
      <c r="N5">
        <f>Subsistence!M5</f>
        <v>3751.3382800000004</v>
      </c>
      <c r="O5">
        <f>Subsistence!N5</f>
        <v>7925.8280000000004</v>
      </c>
      <c r="Q5" s="47" t="s">
        <v>31</v>
      </c>
      <c r="R5">
        <f>H48/N48*100</f>
        <v>1.0884648500985168</v>
      </c>
      <c r="S5" s="49">
        <f>I48/O48*100</f>
        <v>1.1900325033618238</v>
      </c>
    </row>
    <row r="6" spans="1:23" x14ac:dyDescent="0.2">
      <c r="A6" t="s">
        <v>68</v>
      </c>
      <c r="B6" t="s">
        <v>330</v>
      </c>
      <c r="C6">
        <v>2014</v>
      </c>
      <c r="D6">
        <f>Subsistence!C6</f>
        <v>0</v>
      </c>
      <c r="E6">
        <f>Subsistence!D6</f>
        <v>0</v>
      </c>
      <c r="F6">
        <f>Subsistence!E6</f>
        <v>0</v>
      </c>
      <c r="G6">
        <f>Subsistence!F6</f>
        <v>0</v>
      </c>
      <c r="H6">
        <f>Subsistence!G6</f>
        <v>673.27</v>
      </c>
      <c r="I6">
        <f>Subsistence!H6</f>
        <v>715</v>
      </c>
      <c r="J6">
        <f>Subsistence!I6</f>
        <v>0.80099999999999993</v>
      </c>
      <c r="K6">
        <f>Subsistence!J6</f>
        <v>0.8899999999999999</v>
      </c>
      <c r="L6">
        <f>Subsistence!K6</f>
        <v>1359.29483</v>
      </c>
      <c r="M6">
        <f>Subsistence!L6</f>
        <v>2880.1929999999998</v>
      </c>
      <c r="N6">
        <f>Subsistence!M6</f>
        <v>2033.3658300000002</v>
      </c>
      <c r="O6">
        <f>Subsistence!N6</f>
        <v>3596.0829999999996</v>
      </c>
      <c r="Q6" s="47" t="s">
        <v>42</v>
      </c>
      <c r="R6">
        <f>J48/N48*100</f>
        <v>0.56352442475971853</v>
      </c>
      <c r="S6" s="49">
        <f>K48/O48*100</f>
        <v>2.3463308103818594</v>
      </c>
    </row>
    <row r="7" spans="1:23" ht="16" thickBot="1" x14ac:dyDescent="0.25">
      <c r="A7" t="s">
        <v>68</v>
      </c>
      <c r="B7" t="s">
        <v>330</v>
      </c>
      <c r="C7">
        <v>2015</v>
      </c>
      <c r="D7">
        <f>Subsistence!C7</f>
        <v>0</v>
      </c>
      <c r="E7">
        <f>Subsistence!D7</f>
        <v>0</v>
      </c>
      <c r="F7">
        <f>Subsistence!E7</f>
        <v>8.4391999999999996</v>
      </c>
      <c r="G7">
        <f>Subsistence!F7</f>
        <v>10.548999999999999</v>
      </c>
      <c r="H7">
        <f>Subsistence!G7</f>
        <v>1009.88</v>
      </c>
      <c r="I7">
        <f>Subsistence!H7</f>
        <v>1081</v>
      </c>
      <c r="J7">
        <f>Subsistence!I7</f>
        <v>0</v>
      </c>
      <c r="K7">
        <f>Subsistence!J7</f>
        <v>0</v>
      </c>
      <c r="L7">
        <f>Subsistence!K7</f>
        <v>1323.6477400000001</v>
      </c>
      <c r="M7">
        <f>Subsistence!L7</f>
        <v>2778.4659999999999</v>
      </c>
      <c r="N7">
        <f>Subsistence!M7</f>
        <v>2341.9669400000002</v>
      </c>
      <c r="O7">
        <f>Subsistence!N7</f>
        <v>3870.0149999999999</v>
      </c>
      <c r="Q7" s="50" t="s">
        <v>20</v>
      </c>
      <c r="R7" s="51">
        <f>L48/N48*100</f>
        <v>98.018600405238175</v>
      </c>
      <c r="S7" s="52">
        <f>M48/O48*100</f>
        <v>96.166050219749451</v>
      </c>
    </row>
    <row r="8" spans="1:23" x14ac:dyDescent="0.2">
      <c r="A8" t="s">
        <v>68</v>
      </c>
      <c r="B8" t="s">
        <v>330</v>
      </c>
      <c r="C8">
        <v>2016</v>
      </c>
      <c r="D8">
        <f>Subsistence!C8</f>
        <v>0.17</v>
      </c>
      <c r="E8">
        <f>Subsistence!D8</f>
        <v>1</v>
      </c>
      <c r="F8">
        <f>Subsistence!E8</f>
        <v>0</v>
      </c>
      <c r="G8">
        <f>Subsistence!F8</f>
        <v>0</v>
      </c>
      <c r="H8">
        <f>Subsistence!G8</f>
        <v>557.27</v>
      </c>
      <c r="I8">
        <f>Subsistence!H8</f>
        <v>558</v>
      </c>
      <c r="J8">
        <f>Subsistence!I8</f>
        <v>0</v>
      </c>
      <c r="K8">
        <f>Subsistence!J8</f>
        <v>0</v>
      </c>
      <c r="L8">
        <f>Subsistence!K8</f>
        <v>1713.9102933333334</v>
      </c>
      <c r="M8">
        <f>Subsistence!L8</f>
        <v>3289.3076666666666</v>
      </c>
      <c r="N8">
        <f>Subsistence!M8</f>
        <v>2271.3502933333334</v>
      </c>
      <c r="O8">
        <f>Subsistence!N8</f>
        <v>3848.3076666666666</v>
      </c>
    </row>
    <row r="9" spans="1:23" ht="16" thickBot="1" x14ac:dyDescent="0.25">
      <c r="A9" t="s">
        <v>68</v>
      </c>
      <c r="B9" t="s">
        <v>330</v>
      </c>
      <c r="C9">
        <v>2017</v>
      </c>
      <c r="D9">
        <f>Subsistence!C9</f>
        <v>0.34</v>
      </c>
      <c r="E9">
        <f>Subsistence!D9</f>
        <v>2</v>
      </c>
      <c r="F9">
        <f>Subsistence!E9</f>
        <v>2.6840000000000002</v>
      </c>
      <c r="G9">
        <f>Subsistence!F9</f>
        <v>3.355</v>
      </c>
      <c r="H9">
        <f>Subsistence!G9</f>
        <v>585.88</v>
      </c>
      <c r="I9">
        <f>Subsistence!H9</f>
        <v>624</v>
      </c>
      <c r="J9">
        <f>Subsistence!I9</f>
        <v>0.44</v>
      </c>
      <c r="K9">
        <f>Subsistence!J9</f>
        <v>11</v>
      </c>
      <c r="L9">
        <f>Subsistence!K9</f>
        <v>3220.6760800000002</v>
      </c>
      <c r="M9">
        <f>Subsistence!L9</f>
        <v>6760.3680000000004</v>
      </c>
      <c r="N9">
        <f>Subsistence!M9</f>
        <v>3810.0200800000002</v>
      </c>
      <c r="O9">
        <f>Subsistence!N9</f>
        <v>7400.723</v>
      </c>
    </row>
    <row r="10" spans="1:23" ht="16" thickBot="1" x14ac:dyDescent="0.25">
      <c r="A10" t="s">
        <v>68</v>
      </c>
      <c r="B10" t="s">
        <v>330</v>
      </c>
      <c r="C10">
        <v>2018</v>
      </c>
      <c r="D10">
        <f>Subsistence!C10</f>
        <v>0</v>
      </c>
      <c r="E10">
        <f>Subsistence!D10</f>
        <v>0</v>
      </c>
      <c r="F10">
        <f>Subsistence!E10</f>
        <v>19.738666666666667</v>
      </c>
      <c r="G10">
        <f>Subsistence!F10</f>
        <v>24.673333333333328</v>
      </c>
      <c r="H10">
        <f>Subsistence!G10</f>
        <v>449.18999999999994</v>
      </c>
      <c r="I10">
        <f>Subsistence!H10</f>
        <v>519</v>
      </c>
      <c r="J10">
        <f>Subsistence!I10</f>
        <v>6.1989000000000001</v>
      </c>
      <c r="K10">
        <f>Subsistence!J10</f>
        <v>12.620999999999999</v>
      </c>
      <c r="L10">
        <f>Subsistence!K10</f>
        <v>4080.8928533333333</v>
      </c>
      <c r="M10">
        <f>Subsistence!L10</f>
        <v>9106.3086666666677</v>
      </c>
      <c r="N10">
        <f>Subsistence!M10</f>
        <v>4556.0204199999998</v>
      </c>
      <c r="O10">
        <f>Subsistence!N10</f>
        <v>9662.603000000001</v>
      </c>
      <c r="Q10" s="138" t="s">
        <v>458</v>
      </c>
      <c r="R10" s="139"/>
      <c r="S10" s="139"/>
      <c r="T10" s="140"/>
    </row>
    <row r="11" spans="1:23" x14ac:dyDescent="0.2">
      <c r="A11" t="s">
        <v>68</v>
      </c>
      <c r="B11" t="s">
        <v>330</v>
      </c>
      <c r="C11">
        <v>2019</v>
      </c>
      <c r="D11">
        <f>Subsistence!C11</f>
        <v>1.87</v>
      </c>
      <c r="E11">
        <f>Subsistence!D11</f>
        <v>11</v>
      </c>
      <c r="F11">
        <f>Subsistence!E11</f>
        <v>12.019200000000001</v>
      </c>
      <c r="G11">
        <f>Subsistence!F11</f>
        <v>15.024000000000001</v>
      </c>
      <c r="H11">
        <f>Subsistence!G11</f>
        <v>805.30090999999993</v>
      </c>
      <c r="I11">
        <f>Subsistence!H11</f>
        <v>837.25099999999998</v>
      </c>
      <c r="J11">
        <f>Subsistence!I11</f>
        <v>1.9813000000000001</v>
      </c>
      <c r="K11">
        <f>Subsistence!J11</f>
        <v>3.157</v>
      </c>
      <c r="L11">
        <f>Subsistence!K11</f>
        <v>4568.3302933333325</v>
      </c>
      <c r="M11">
        <f>Subsistence!L11</f>
        <v>9847.7526666666672</v>
      </c>
      <c r="N11">
        <f>Subsistence!M11</f>
        <v>5389.5017033333324</v>
      </c>
      <c r="O11">
        <f>Subsistence!N11</f>
        <v>10714.184666666668</v>
      </c>
      <c r="Q11" s="53"/>
      <c r="R11" s="1" t="s">
        <v>459</v>
      </c>
      <c r="S11" s="1" t="s">
        <v>460</v>
      </c>
      <c r="T11" s="48" t="s">
        <v>461</v>
      </c>
      <c r="U11" s="74" t="s">
        <v>462</v>
      </c>
    </row>
    <row r="12" spans="1:23" x14ac:dyDescent="0.2">
      <c r="A12" t="s">
        <v>68</v>
      </c>
      <c r="B12" t="s">
        <v>330</v>
      </c>
      <c r="C12">
        <v>2020</v>
      </c>
      <c r="D12">
        <f>Subsistence!C12</f>
        <v>0</v>
      </c>
      <c r="E12">
        <f>Subsistence!D12</f>
        <v>0</v>
      </c>
      <c r="F12">
        <f>Subsistence!E12</f>
        <v>15.807200000000003</v>
      </c>
      <c r="G12">
        <f>Subsistence!F12</f>
        <v>19.759</v>
      </c>
      <c r="H12">
        <f>Subsistence!G12</f>
        <v>507.07732499999997</v>
      </c>
      <c r="I12">
        <f>Subsistence!H12</f>
        <v>586.20249999999999</v>
      </c>
      <c r="J12">
        <f>Subsistence!I12</f>
        <v>22.125299999999999</v>
      </c>
      <c r="K12">
        <f>Subsistence!J12</f>
        <v>24.583666666666666</v>
      </c>
      <c r="L12">
        <f>Subsistence!K12</f>
        <v>6183.6607999999997</v>
      </c>
      <c r="M12">
        <f>Subsistence!L12</f>
        <v>13639.18</v>
      </c>
      <c r="N12">
        <f>Subsistence!M12</f>
        <v>6728.6706249999997</v>
      </c>
      <c r="O12">
        <f>Subsistence!N12</f>
        <v>14269.725166666667</v>
      </c>
      <c r="Q12" s="47" t="s">
        <v>330</v>
      </c>
      <c r="R12" s="77">
        <v>182155</v>
      </c>
      <c r="S12">
        <f>O46/10</f>
        <v>366299.87875000003</v>
      </c>
      <c r="T12" s="78">
        <f>S12/R12*100</f>
        <v>201.09240962367218</v>
      </c>
      <c r="U12" s="75" t="s">
        <v>463</v>
      </c>
    </row>
    <row r="13" spans="1:23" x14ac:dyDescent="0.2">
      <c r="A13" t="s">
        <v>68</v>
      </c>
      <c r="B13" t="s">
        <v>331</v>
      </c>
      <c r="C13">
        <v>2011</v>
      </c>
      <c r="D13">
        <f>Subsistence!C13</f>
        <v>243.55415409346199</v>
      </c>
      <c r="E13">
        <f>Subsistence!D13</f>
        <v>330.67324218750002</v>
      </c>
      <c r="F13">
        <f>Subsistence!E13</f>
        <v>88.486956284986604</v>
      </c>
      <c r="G13">
        <f>Subsistence!F13</f>
        <v>184.00478543563099</v>
      </c>
      <c r="H13">
        <f>Subsistence!G13</f>
        <v>950.53469526669403</v>
      </c>
      <c r="I13">
        <f>Subsistence!H13</f>
        <v>1129.4900456621001</v>
      </c>
      <c r="J13">
        <f>Subsistence!I13</f>
        <v>424.33096980035998</v>
      </c>
      <c r="K13">
        <f>Subsistence!J13</f>
        <v>780.54</v>
      </c>
      <c r="L13">
        <f>Subsistence!K13</f>
        <v>15946.7688657708</v>
      </c>
      <c r="M13">
        <f>Subsistence!L13</f>
        <v>22467.5</v>
      </c>
      <c r="N13">
        <f>Subsistence!M13</f>
        <v>17653.675641216301</v>
      </c>
      <c r="O13">
        <f>Subsistence!N13</f>
        <v>24892.20807328523</v>
      </c>
      <c r="Q13" s="47" t="s">
        <v>331</v>
      </c>
      <c r="S13">
        <f>SUM(K21:K30)/10</f>
        <v>6207.2439776291922</v>
      </c>
      <c r="T13" s="49" t="e">
        <f>S13/R13*100</f>
        <v>#DIV/0!</v>
      </c>
      <c r="U13" s="75"/>
    </row>
    <row r="14" spans="1:23" ht="16" thickBot="1" x14ac:dyDescent="0.25">
      <c r="A14" t="s">
        <v>68</v>
      </c>
      <c r="B14" t="s">
        <v>331</v>
      </c>
      <c r="C14">
        <v>2012</v>
      </c>
      <c r="D14">
        <f>Subsistence!C14</f>
        <v>187.96864389794001</v>
      </c>
      <c r="E14">
        <f>Subsistence!D14</f>
        <v>259.49</v>
      </c>
      <c r="F14">
        <f>Subsistence!E14</f>
        <v>32.970392313961497</v>
      </c>
      <c r="G14">
        <f>Subsistence!F14</f>
        <v>57.615199409158002</v>
      </c>
      <c r="H14">
        <f>Subsistence!G14</f>
        <v>1101.23121119539</v>
      </c>
      <c r="I14">
        <f>Subsistence!H14</f>
        <v>1329.6334245917401</v>
      </c>
      <c r="J14">
        <f>Subsistence!I14</f>
        <v>595.13538798523803</v>
      </c>
      <c r="K14">
        <f>Subsistence!J14</f>
        <v>827.81832376578598</v>
      </c>
      <c r="L14">
        <f>Subsistence!K14</f>
        <v>17116.161833585102</v>
      </c>
      <c r="M14">
        <f>Subsistence!L14</f>
        <v>25180.1</v>
      </c>
      <c r="N14">
        <f>Subsistence!M14</f>
        <v>19033.467468977629</v>
      </c>
      <c r="O14">
        <f>Subsistence!N14</f>
        <v>27654.656947766682</v>
      </c>
      <c r="Q14" s="50" t="s">
        <v>400</v>
      </c>
      <c r="R14" s="51">
        <f>SUM(R12:R13)</f>
        <v>182155</v>
      </c>
      <c r="S14" s="51">
        <f>SUM(S12:S13)</f>
        <v>372507.1227276292</v>
      </c>
      <c r="T14" s="52">
        <f>S14/R14*100</f>
        <v>204.50008109995838</v>
      </c>
      <c r="U14" s="76"/>
    </row>
    <row r="15" spans="1:23" x14ac:dyDescent="0.2">
      <c r="A15" t="s">
        <v>68</v>
      </c>
      <c r="B15" t="s">
        <v>331</v>
      </c>
      <c r="C15">
        <v>2013</v>
      </c>
      <c r="D15">
        <f>Subsistence!C15</f>
        <v>342.88267484694001</v>
      </c>
      <c r="E15">
        <f>Subsistence!D15</f>
        <v>441.65</v>
      </c>
      <c r="F15">
        <f>Subsistence!E15</f>
        <v>4.8980266634190004</v>
      </c>
      <c r="G15">
        <f>Subsistence!F15</f>
        <v>9.9655000000000094</v>
      </c>
      <c r="H15">
        <f>Subsistence!G15</f>
        <v>191.76192106308</v>
      </c>
      <c r="I15">
        <f>Subsistence!H15</f>
        <v>380.71819038642798</v>
      </c>
      <c r="J15">
        <f>Subsistence!I15</f>
        <v>70.164375239969999</v>
      </c>
      <c r="K15">
        <f>Subsistence!J15</f>
        <v>605.37</v>
      </c>
      <c r="L15">
        <f>Subsistence!K15</f>
        <v>16364.4011313395</v>
      </c>
      <c r="M15">
        <f>Subsistence!L15</f>
        <v>22911.200000000001</v>
      </c>
      <c r="N15">
        <f>Subsistence!M15</f>
        <v>16974.108129152908</v>
      </c>
      <c r="O15">
        <f>Subsistence!N15</f>
        <v>24348.903690386429</v>
      </c>
    </row>
    <row r="16" spans="1:23" x14ac:dyDescent="0.2">
      <c r="A16" t="s">
        <v>68</v>
      </c>
      <c r="B16" t="s">
        <v>331</v>
      </c>
      <c r="C16">
        <v>2014</v>
      </c>
      <c r="D16">
        <f>Subsistence!C16</f>
        <v>281.82002222903998</v>
      </c>
      <c r="E16">
        <f>Subsistence!D16</f>
        <v>399</v>
      </c>
      <c r="F16">
        <f>Subsistence!E16</f>
        <v>212.57722723449999</v>
      </c>
      <c r="G16">
        <f>Subsistence!F16</f>
        <v>303</v>
      </c>
      <c r="H16">
        <f>Subsistence!G16</f>
        <v>322.29805954097998</v>
      </c>
      <c r="I16">
        <f>Subsistence!H16</f>
        <v>565.42999999999995</v>
      </c>
      <c r="J16">
        <f>Subsistence!I16</f>
        <v>606.33078792499998</v>
      </c>
      <c r="K16">
        <f>Subsistence!J16</f>
        <v>786.5</v>
      </c>
      <c r="L16">
        <f>Subsistence!K16</f>
        <v>15315.4645290013</v>
      </c>
      <c r="M16">
        <f>Subsistence!L16</f>
        <v>20240.900000000001</v>
      </c>
      <c r="N16">
        <f>Subsistence!M16</f>
        <v>16738.490625930819</v>
      </c>
      <c r="O16">
        <f>Subsistence!N16</f>
        <v>22294.83</v>
      </c>
    </row>
    <row r="17" spans="1:15" x14ac:dyDescent="0.2">
      <c r="A17" t="s">
        <v>68</v>
      </c>
      <c r="B17" t="s">
        <v>331</v>
      </c>
      <c r="C17">
        <v>2015</v>
      </c>
      <c r="D17">
        <f>Subsistence!C17</f>
        <v>109.908319058564</v>
      </c>
      <c r="E17">
        <f>Subsistence!D17</f>
        <v>159.515037593985</v>
      </c>
      <c r="F17">
        <f>Subsistence!E17</f>
        <v>84.892803952549997</v>
      </c>
      <c r="G17">
        <f>Subsistence!F17</f>
        <v>192.5</v>
      </c>
      <c r="H17">
        <f>Subsistence!G17</f>
        <v>887.33835956038001</v>
      </c>
      <c r="I17">
        <f>Subsistence!H17</f>
        <v>1156.18</v>
      </c>
      <c r="J17">
        <f>Subsistence!I17</f>
        <v>448.97359253929</v>
      </c>
      <c r="K17">
        <f>Subsistence!J17</f>
        <v>735.85</v>
      </c>
      <c r="L17">
        <f>Subsistence!K17</f>
        <v>13492.5027503905</v>
      </c>
      <c r="M17">
        <f>Subsistence!L17</f>
        <v>17177.996431449301</v>
      </c>
      <c r="N17">
        <f>Subsistence!M17</f>
        <v>15023.615825501285</v>
      </c>
      <c r="O17">
        <f>Subsistence!N17</f>
        <v>19422.041469043284</v>
      </c>
    </row>
    <row r="18" spans="1:15" x14ac:dyDescent="0.2">
      <c r="A18" t="s">
        <v>68</v>
      </c>
      <c r="B18" t="s">
        <v>331</v>
      </c>
      <c r="C18">
        <v>2016</v>
      </c>
      <c r="D18">
        <f>Subsistence!C18</f>
        <v>177.80072088276</v>
      </c>
      <c r="E18">
        <f>Subsistence!D18</f>
        <v>235.33</v>
      </c>
      <c r="F18">
        <f>Subsistence!E18</f>
        <v>173.85845094786001</v>
      </c>
      <c r="G18">
        <f>Subsistence!F18</f>
        <v>269.98</v>
      </c>
      <c r="H18">
        <f>Subsistence!G18</f>
        <v>1029.12878833272</v>
      </c>
      <c r="I18">
        <f>Subsistence!H18</f>
        <v>1227.73</v>
      </c>
      <c r="J18">
        <f>Subsistence!I18</f>
        <v>768.24953565021997</v>
      </c>
      <c r="K18">
        <f>Subsistence!J18</f>
        <v>967.41</v>
      </c>
      <c r="L18">
        <f>Subsistence!K18</f>
        <v>13898.0784366675</v>
      </c>
      <c r="M18">
        <f>Subsistence!L18</f>
        <v>19572.7</v>
      </c>
      <c r="N18">
        <f>Subsistence!M18</f>
        <v>16047.11593248106</v>
      </c>
      <c r="O18">
        <f>Subsistence!N18</f>
        <v>22273.15</v>
      </c>
    </row>
    <row r="19" spans="1:15" x14ac:dyDescent="0.2">
      <c r="A19" t="s">
        <v>68</v>
      </c>
      <c r="B19" t="s">
        <v>331</v>
      </c>
      <c r="C19">
        <v>2017</v>
      </c>
      <c r="D19">
        <f>Subsistence!C19</f>
        <v>200.43835799510001</v>
      </c>
      <c r="E19">
        <f>Subsistence!D19</f>
        <v>257.5</v>
      </c>
      <c r="F19">
        <f>Subsistence!E19</f>
        <v>80.968760175900002</v>
      </c>
      <c r="G19">
        <f>Subsistence!F19</f>
        <v>252.49</v>
      </c>
      <c r="H19">
        <f>Subsistence!G19</f>
        <v>579.61690744528005</v>
      </c>
      <c r="I19">
        <f>Subsistence!H19</f>
        <v>778.82</v>
      </c>
      <c r="J19">
        <f>Subsistence!I19</f>
        <v>257.34645486907999</v>
      </c>
      <c r="K19">
        <f>Subsistence!J19</f>
        <v>577.65</v>
      </c>
      <c r="L19">
        <f>Subsistence!K19</f>
        <v>12012.4116031305</v>
      </c>
      <c r="M19">
        <f>Subsistence!L19</f>
        <v>17135.099999999999</v>
      </c>
      <c r="N19">
        <f>Subsistence!M19</f>
        <v>13130.782083615861</v>
      </c>
      <c r="O19">
        <f>Subsistence!N19</f>
        <v>19001.559999999998</v>
      </c>
    </row>
    <row r="20" spans="1:15" x14ac:dyDescent="0.2">
      <c r="A20" t="s">
        <v>68</v>
      </c>
      <c r="B20" t="s">
        <v>331</v>
      </c>
      <c r="C20">
        <v>2018</v>
      </c>
      <c r="D20">
        <f>Subsistence!C20</f>
        <v>115.25290170469999</v>
      </c>
      <c r="E20">
        <f>Subsistence!D20</f>
        <v>208.15</v>
      </c>
      <c r="F20">
        <f>Subsistence!E20</f>
        <v>140.0255991825</v>
      </c>
      <c r="G20">
        <f>Subsistence!F20</f>
        <v>237.14</v>
      </c>
      <c r="H20">
        <f>Subsistence!G20</f>
        <v>1183.50605700491</v>
      </c>
      <c r="I20">
        <f>Subsistence!H20</f>
        <v>1383.35</v>
      </c>
      <c r="J20">
        <f>Subsistence!I20</f>
        <v>307.22266613682001</v>
      </c>
      <c r="K20">
        <f>Subsistence!J20</f>
        <v>504.49</v>
      </c>
      <c r="L20">
        <f>Subsistence!K20</f>
        <v>12374.831761465201</v>
      </c>
      <c r="M20">
        <f>Subsistence!L20</f>
        <v>22250.1</v>
      </c>
      <c r="N20">
        <f>Subsistence!M20</f>
        <v>14120.838985494131</v>
      </c>
      <c r="O20">
        <f>Subsistence!N20</f>
        <v>24583.23</v>
      </c>
    </row>
    <row r="21" spans="1:15" x14ac:dyDescent="0.2">
      <c r="A21" t="s">
        <v>68</v>
      </c>
      <c r="B21" t="s">
        <v>331</v>
      </c>
      <c r="C21">
        <v>2019</v>
      </c>
      <c r="D21">
        <f>Subsistence!C21</f>
        <v>151.22588897067999</v>
      </c>
      <c r="E21">
        <f>Subsistence!D21</f>
        <v>221.5</v>
      </c>
      <c r="F21">
        <f>Subsistence!E21</f>
        <v>179.99527551828001</v>
      </c>
      <c r="G21">
        <f>Subsistence!F21</f>
        <v>220.98</v>
      </c>
      <c r="H21">
        <f>Subsistence!G21</f>
        <v>830.83692132114004</v>
      </c>
      <c r="I21">
        <f>Subsistence!H21</f>
        <v>988.76</v>
      </c>
      <c r="J21">
        <f>Subsistence!I21</f>
        <v>438.51596362946299</v>
      </c>
      <c r="K21">
        <f>Subsistence!J21</f>
        <v>769.171279212792</v>
      </c>
      <c r="L21">
        <f>Subsistence!K21</f>
        <v>13257.054412563901</v>
      </c>
      <c r="M21">
        <f>Subsistence!L21</f>
        <v>22970.725222197801</v>
      </c>
      <c r="N21">
        <f>Subsistence!M21</f>
        <v>14857.628462003464</v>
      </c>
      <c r="O21">
        <f>Subsistence!N21</f>
        <v>25171.136501410594</v>
      </c>
    </row>
    <row r="22" spans="1:15" x14ac:dyDescent="0.2">
      <c r="A22" t="s">
        <v>68</v>
      </c>
      <c r="B22" t="s">
        <v>331</v>
      </c>
      <c r="C22">
        <v>2020</v>
      </c>
      <c r="D22">
        <f>Subsistence!C22</f>
        <v>120.94699652742</v>
      </c>
      <c r="E22">
        <f>Subsistence!D22</f>
        <v>243.12</v>
      </c>
      <c r="F22">
        <f>Subsistence!E22</f>
        <v>72.999564284499996</v>
      </c>
      <c r="G22">
        <f>Subsistence!F22</f>
        <v>158.81</v>
      </c>
      <c r="H22">
        <f>Subsistence!G22</f>
        <v>817.18219535870003</v>
      </c>
      <c r="I22">
        <f>Subsistence!H22</f>
        <v>908.15</v>
      </c>
      <c r="J22">
        <f>Subsistence!I22</f>
        <v>-13.8247489463712</v>
      </c>
      <c r="K22">
        <f>Subsistence!J22</f>
        <v>476.26849707912902</v>
      </c>
      <c r="L22">
        <f>Subsistence!K22</f>
        <v>7041.8241283323796</v>
      </c>
      <c r="M22">
        <f>Subsistence!L22</f>
        <v>12222.871347734101</v>
      </c>
      <c r="N22">
        <f>Subsistence!M22</f>
        <v>8039.128135556628</v>
      </c>
      <c r="O22">
        <f>Subsistence!N22</f>
        <v>14009.219844813229</v>
      </c>
    </row>
    <row r="23" spans="1:15" x14ac:dyDescent="0.2">
      <c r="A23" t="s">
        <v>361</v>
      </c>
      <c r="B23" t="s">
        <v>330</v>
      </c>
      <c r="C23">
        <v>2011</v>
      </c>
      <c r="D23">
        <f>'Personal Use'!C3</f>
        <v>211.31</v>
      </c>
      <c r="E23">
        <f>'Personal Use'!D3</f>
        <v>1243</v>
      </c>
      <c r="F23">
        <f>'Personal Use'!E3</f>
        <v>0</v>
      </c>
      <c r="G23">
        <f>'Personal Use'!F3</f>
        <v>0</v>
      </c>
      <c r="H23">
        <f>'Personal Use'!G3</f>
        <v>1043.9000000000001</v>
      </c>
      <c r="I23">
        <f>'Personal Use'!H3</f>
        <v>4745</v>
      </c>
      <c r="J23">
        <f>'Personal Use'!I3</f>
        <v>156.56</v>
      </c>
      <c r="K23">
        <f>'Personal Use'!J3</f>
        <v>3914</v>
      </c>
      <c r="L23">
        <f>'Personal Use'!K3</f>
        <v>274260.15000000002</v>
      </c>
      <c r="M23">
        <f>'Personal Use'!L3</f>
        <v>537765</v>
      </c>
      <c r="N23">
        <f>'Personal Use'!M3</f>
        <v>275671.92000000004</v>
      </c>
      <c r="O23">
        <f>'Personal Use'!N3</f>
        <v>547667</v>
      </c>
    </row>
    <row r="24" spans="1:15" x14ac:dyDescent="0.2">
      <c r="A24" t="s">
        <v>361</v>
      </c>
      <c r="B24" t="s">
        <v>330</v>
      </c>
      <c r="C24">
        <v>2012</v>
      </c>
      <c r="D24">
        <f>'Personal Use'!C4</f>
        <v>6.8000000000000007</v>
      </c>
      <c r="E24">
        <f>'Personal Use'!D4</f>
        <v>40</v>
      </c>
      <c r="F24">
        <f>'Personal Use'!E4</f>
        <v>0</v>
      </c>
      <c r="G24">
        <f>'Personal Use'!F4</f>
        <v>0</v>
      </c>
      <c r="H24">
        <f>'Personal Use'!G4</f>
        <v>881.76</v>
      </c>
      <c r="I24">
        <f>'Personal Use'!H4</f>
        <v>4008</v>
      </c>
      <c r="J24">
        <f>'Personal Use'!I4</f>
        <v>150.80000000000001</v>
      </c>
      <c r="K24">
        <f>'Personal Use'!J4</f>
        <v>3770</v>
      </c>
      <c r="L24">
        <f>'Personal Use'!K4</f>
        <v>268765.92</v>
      </c>
      <c r="M24">
        <f>'Personal Use'!L4</f>
        <v>526992</v>
      </c>
      <c r="N24">
        <f>'Personal Use'!M4</f>
        <v>269805.27999999997</v>
      </c>
      <c r="O24">
        <f>'Personal Use'!N4</f>
        <v>534810</v>
      </c>
    </row>
    <row r="25" spans="1:15" x14ac:dyDescent="0.2">
      <c r="A25" t="s">
        <v>361</v>
      </c>
      <c r="B25" t="s">
        <v>330</v>
      </c>
      <c r="C25">
        <v>2013</v>
      </c>
      <c r="D25">
        <f>'Personal Use'!C5</f>
        <v>1.87</v>
      </c>
      <c r="E25">
        <f>'Personal Use'!D5</f>
        <v>11</v>
      </c>
      <c r="F25">
        <f>'Personal Use'!E5</f>
        <v>0</v>
      </c>
      <c r="G25">
        <f>'Personal Use'!F5</f>
        <v>0</v>
      </c>
      <c r="H25">
        <f>'Personal Use'!G5</f>
        <v>697.18</v>
      </c>
      <c r="I25">
        <f>'Personal Use'!H5</f>
        <v>3169</v>
      </c>
      <c r="J25">
        <f>'Personal Use'!I5</f>
        <v>145</v>
      </c>
      <c r="K25">
        <f>'Personal Use'!J5</f>
        <v>3625</v>
      </c>
      <c r="L25">
        <f>'Personal Use'!K5</f>
        <v>177083.22</v>
      </c>
      <c r="M25">
        <f>'Personal Use'!L5</f>
        <v>347222</v>
      </c>
      <c r="N25">
        <f>'Personal Use'!M5</f>
        <v>177927.27</v>
      </c>
      <c r="O25">
        <f>'Personal Use'!N5</f>
        <v>354027</v>
      </c>
    </row>
    <row r="26" spans="1:15" x14ac:dyDescent="0.2">
      <c r="A26" t="s">
        <v>361</v>
      </c>
      <c r="B26" t="s">
        <v>330</v>
      </c>
      <c r="C26">
        <v>2014</v>
      </c>
      <c r="D26">
        <f>'Personal Use'!C6</f>
        <v>0</v>
      </c>
      <c r="E26">
        <f>'Personal Use'!D6</f>
        <v>0</v>
      </c>
      <c r="F26">
        <f>'Personal Use'!E6</f>
        <v>0</v>
      </c>
      <c r="G26">
        <f>'Personal Use'!F6</f>
        <v>0</v>
      </c>
      <c r="H26">
        <f>'Personal Use'!G6</f>
        <v>1036.2</v>
      </c>
      <c r="I26">
        <f>'Personal Use'!H6</f>
        <v>4710</v>
      </c>
      <c r="J26">
        <f>'Personal Use'!I6</f>
        <v>765.6</v>
      </c>
      <c r="K26">
        <f>'Personal Use'!J6</f>
        <v>19140</v>
      </c>
      <c r="L26">
        <f>'Personal Use'!K6</f>
        <v>193709.73</v>
      </c>
      <c r="M26">
        <f>'Personal Use'!L6</f>
        <v>379823</v>
      </c>
      <c r="N26">
        <f>'Personal Use'!M6</f>
        <v>195511.53</v>
      </c>
      <c r="O26">
        <f>'Personal Use'!N6</f>
        <v>403673</v>
      </c>
    </row>
    <row r="27" spans="1:15" x14ac:dyDescent="0.2">
      <c r="A27" t="s">
        <v>361</v>
      </c>
      <c r="B27" t="s">
        <v>330</v>
      </c>
      <c r="C27">
        <v>2015</v>
      </c>
      <c r="D27">
        <f>'Personal Use'!C7</f>
        <v>11.22</v>
      </c>
      <c r="E27">
        <f>'Personal Use'!D7</f>
        <v>66</v>
      </c>
      <c r="F27">
        <f>'Personal Use'!E7</f>
        <v>0</v>
      </c>
      <c r="G27">
        <f>'Personal Use'!F7</f>
        <v>0</v>
      </c>
      <c r="H27">
        <f>'Personal Use'!G7</f>
        <v>913</v>
      </c>
      <c r="I27">
        <f>'Personal Use'!H7</f>
        <v>4150</v>
      </c>
      <c r="J27">
        <f>'Personal Use'!I7</f>
        <v>165.88</v>
      </c>
      <c r="K27">
        <f>'Personal Use'!J7</f>
        <v>4147</v>
      </c>
      <c r="L27">
        <f>'Personal Use'!K7</f>
        <v>192541.32</v>
      </c>
      <c r="M27">
        <f>'Personal Use'!L7</f>
        <v>377532</v>
      </c>
      <c r="N27">
        <f>'Personal Use'!M7</f>
        <v>193631.42</v>
      </c>
      <c r="O27">
        <f>'Personal Use'!N7</f>
        <v>385895</v>
      </c>
    </row>
    <row r="28" spans="1:15" x14ac:dyDescent="0.2">
      <c r="A28" t="s">
        <v>361</v>
      </c>
      <c r="B28" t="s">
        <v>330</v>
      </c>
      <c r="C28">
        <v>2016</v>
      </c>
      <c r="D28">
        <f>'Personal Use'!C8</f>
        <v>108.46000000000001</v>
      </c>
      <c r="E28">
        <f>'Personal Use'!D8</f>
        <v>638</v>
      </c>
      <c r="F28">
        <f>'Personal Use'!E8</f>
        <v>0</v>
      </c>
      <c r="G28">
        <f>'Personal Use'!F8</f>
        <v>0</v>
      </c>
      <c r="H28">
        <f>'Personal Use'!G8</f>
        <v>720.94</v>
      </c>
      <c r="I28">
        <f>'Personal Use'!H8</f>
        <v>3277</v>
      </c>
      <c r="J28">
        <f>'Personal Use'!I8</f>
        <v>313.36</v>
      </c>
      <c r="K28">
        <f>'Personal Use'!J8</f>
        <v>7834</v>
      </c>
      <c r="L28">
        <f>'Personal Use'!K8</f>
        <v>132119.07</v>
      </c>
      <c r="M28">
        <f>'Personal Use'!L8</f>
        <v>259057</v>
      </c>
      <c r="N28">
        <f>'Personal Use'!M8</f>
        <v>133261.83000000002</v>
      </c>
      <c r="O28">
        <f>'Personal Use'!N8</f>
        <v>270806</v>
      </c>
    </row>
    <row r="29" spans="1:15" x14ac:dyDescent="0.2">
      <c r="A29" t="s">
        <v>361</v>
      </c>
      <c r="B29" t="s">
        <v>330</v>
      </c>
      <c r="C29">
        <v>2017</v>
      </c>
      <c r="D29">
        <f>'Personal Use'!C9</f>
        <v>202.98000000000002</v>
      </c>
      <c r="E29">
        <f>'Personal Use'!D9</f>
        <v>1194</v>
      </c>
      <c r="F29">
        <f>'Personal Use'!E9</f>
        <v>0</v>
      </c>
      <c r="G29">
        <f>'Personal Use'!F9</f>
        <v>0</v>
      </c>
      <c r="H29">
        <f>'Personal Use'!G9</f>
        <v>161.04</v>
      </c>
      <c r="I29">
        <f>'Personal Use'!H9</f>
        <v>732</v>
      </c>
      <c r="J29">
        <f>'Personal Use'!I9</f>
        <v>318.48</v>
      </c>
      <c r="K29">
        <f>'Personal Use'!J9</f>
        <v>7962</v>
      </c>
      <c r="L29">
        <f>'Personal Use'!K9</f>
        <v>151494.99</v>
      </c>
      <c r="M29">
        <f>'Personal Use'!L9</f>
        <v>297049</v>
      </c>
      <c r="N29">
        <f>'Personal Use'!M9</f>
        <v>152177.49</v>
      </c>
      <c r="O29">
        <f>'Personal Use'!N9</f>
        <v>306937</v>
      </c>
    </row>
    <row r="30" spans="1:15" x14ac:dyDescent="0.2">
      <c r="A30" t="s">
        <v>361</v>
      </c>
      <c r="B30" t="s">
        <v>330</v>
      </c>
      <c r="C30">
        <v>2018</v>
      </c>
      <c r="D30">
        <f>'Personal Use'!C10</f>
        <v>1.1900000000000002</v>
      </c>
      <c r="E30">
        <f>'Personal Use'!D10</f>
        <v>7</v>
      </c>
      <c r="F30">
        <f>'Personal Use'!E10</f>
        <v>0</v>
      </c>
      <c r="G30">
        <f>'Personal Use'!F10</f>
        <v>0</v>
      </c>
      <c r="H30">
        <f>'Personal Use'!G10</f>
        <v>116.38</v>
      </c>
      <c r="I30">
        <f>'Personal Use'!H10</f>
        <v>529</v>
      </c>
      <c r="J30">
        <f>'Personal Use'!I10</f>
        <v>417.40000000000003</v>
      </c>
      <c r="K30">
        <f>'Personal Use'!J10</f>
        <v>10435</v>
      </c>
      <c r="L30">
        <f>'Personal Use'!K10</f>
        <v>84164.28</v>
      </c>
      <c r="M30">
        <f>'Personal Use'!L10</f>
        <v>165028</v>
      </c>
      <c r="N30">
        <f>'Personal Use'!M10</f>
        <v>84699.25</v>
      </c>
      <c r="O30">
        <f>'Personal Use'!N10</f>
        <v>175999</v>
      </c>
    </row>
    <row r="31" spans="1:15" x14ac:dyDescent="0.2">
      <c r="A31" t="s">
        <v>361</v>
      </c>
      <c r="B31" t="s">
        <v>330</v>
      </c>
      <c r="C31">
        <v>2019</v>
      </c>
      <c r="D31">
        <f>'Personal Use'!C11</f>
        <v>5.1000000000000005</v>
      </c>
      <c r="E31">
        <f>'Personal Use'!D11</f>
        <v>30</v>
      </c>
      <c r="F31">
        <f>'Personal Use'!E11</f>
        <v>0</v>
      </c>
      <c r="G31">
        <f>'Personal Use'!F11</f>
        <v>0</v>
      </c>
      <c r="H31">
        <f>'Personal Use'!G11</f>
        <v>214.94</v>
      </c>
      <c r="I31">
        <f>'Personal Use'!H11</f>
        <v>977</v>
      </c>
      <c r="J31">
        <f>'Personal Use'!I11</f>
        <v>185.24</v>
      </c>
      <c r="K31">
        <f>'Personal Use'!J11</f>
        <v>4631</v>
      </c>
      <c r="L31">
        <f>'Personal Use'!K11</f>
        <v>169018.08000000002</v>
      </c>
      <c r="M31">
        <f>'Personal Use'!L11</f>
        <v>331408</v>
      </c>
      <c r="N31">
        <f>'Personal Use'!M11</f>
        <v>169423.36000000002</v>
      </c>
      <c r="O31">
        <f>'Personal Use'!N11</f>
        <v>337046</v>
      </c>
    </row>
    <row r="32" spans="1:15" x14ac:dyDescent="0.2">
      <c r="A32" t="s">
        <v>361</v>
      </c>
      <c r="B32" t="s">
        <v>330</v>
      </c>
      <c r="C32">
        <v>2020</v>
      </c>
      <c r="D32">
        <f>'Personal Use'!C12</f>
        <v>3.91</v>
      </c>
      <c r="E32">
        <f>'Personal Use'!D12</f>
        <v>23</v>
      </c>
      <c r="F32">
        <f>'Personal Use'!E12</f>
        <v>0</v>
      </c>
      <c r="G32">
        <f>'Personal Use'!F12</f>
        <v>0</v>
      </c>
      <c r="H32">
        <f>'Personal Use'!G12</f>
        <v>225.06</v>
      </c>
      <c r="I32">
        <f>'Personal Use'!H12</f>
        <v>1023</v>
      </c>
      <c r="J32">
        <f>'Personal Use'!I12</f>
        <v>544.88</v>
      </c>
      <c r="K32">
        <f>'Personal Use'!J12</f>
        <v>13622</v>
      </c>
      <c r="L32">
        <f>'Personal Use'!K12</f>
        <v>131510.64000000001</v>
      </c>
      <c r="M32">
        <f>'Personal Use'!L12</f>
        <v>257864</v>
      </c>
      <c r="N32">
        <f>'Personal Use'!M12</f>
        <v>132284.49000000002</v>
      </c>
      <c r="O32">
        <f>'Personal Use'!N12</f>
        <v>272532</v>
      </c>
    </row>
    <row r="33" spans="1:15" x14ac:dyDescent="0.2">
      <c r="A33" t="s">
        <v>361</v>
      </c>
      <c r="B33" t="s">
        <v>331</v>
      </c>
      <c r="C33">
        <v>2011</v>
      </c>
      <c r="D33">
        <f>'Personal Use'!C13</f>
        <v>2.0269630035703701</v>
      </c>
      <c r="E33">
        <f>'Personal Use'!D13</f>
        <v>3.92592592592593</v>
      </c>
      <c r="F33">
        <f>'Personal Use'!E13</f>
        <v>263.87037383979998</v>
      </c>
      <c r="G33">
        <f>'Personal Use'!F13</f>
        <v>278</v>
      </c>
      <c r="H33">
        <f>'Personal Use'!G13</f>
        <v>70.125360094794999</v>
      </c>
      <c r="I33">
        <f>'Personal Use'!H13</f>
        <v>127.551867219917</v>
      </c>
      <c r="J33">
        <f>'Personal Use'!I13</f>
        <v>786.85251700159995</v>
      </c>
      <c r="K33">
        <f>'Personal Use'!J13</f>
        <v>1252</v>
      </c>
      <c r="L33">
        <f>'Personal Use'!K13</f>
        <v>2074.85381503279</v>
      </c>
      <c r="M33">
        <f>'Personal Use'!L13</f>
        <v>2790</v>
      </c>
      <c r="N33">
        <f>'Personal Use'!M13</f>
        <v>3197.7290289725552</v>
      </c>
      <c r="O33">
        <f>'Personal Use'!N13</f>
        <v>4451.477793145843</v>
      </c>
    </row>
    <row r="34" spans="1:15" x14ac:dyDescent="0.2">
      <c r="A34" t="s">
        <v>361</v>
      </c>
      <c r="B34" t="s">
        <v>331</v>
      </c>
      <c r="C34">
        <v>2012</v>
      </c>
      <c r="D34">
        <f>'Personal Use'!C14</f>
        <v>1.6213476370153801</v>
      </c>
      <c r="E34">
        <f>'Personal Use'!D14</f>
        <v>3</v>
      </c>
      <c r="F34">
        <f>'Personal Use'!E14</f>
        <v>295.62068809819999</v>
      </c>
      <c r="G34">
        <f>'Personal Use'!F14</f>
        <v>310</v>
      </c>
      <c r="H34">
        <f>'Personal Use'!G14</f>
        <v>63.599059975556102</v>
      </c>
      <c r="I34">
        <f>'Personal Use'!H14</f>
        <v>116.198863636364</v>
      </c>
      <c r="J34">
        <f>'Personal Use'!I14</f>
        <v>404.5316257568</v>
      </c>
      <c r="K34">
        <f>'Personal Use'!J14</f>
        <v>518</v>
      </c>
      <c r="L34">
        <f>'Personal Use'!K14</f>
        <v>2078.9323259175299</v>
      </c>
      <c r="M34">
        <f>'Personal Use'!L14</f>
        <v>3028</v>
      </c>
      <c r="N34">
        <f>'Personal Use'!M14</f>
        <v>2844.3050473851013</v>
      </c>
      <c r="O34">
        <f>'Personal Use'!N14</f>
        <v>3975.198863636364</v>
      </c>
    </row>
    <row r="35" spans="1:15" x14ac:dyDescent="0.2">
      <c r="A35" t="s">
        <v>361</v>
      </c>
      <c r="B35" t="s">
        <v>331</v>
      </c>
      <c r="C35">
        <v>2013</v>
      </c>
      <c r="D35">
        <f>'Personal Use'!C15</f>
        <v>18.245131714399999</v>
      </c>
      <c r="E35">
        <f>'Personal Use'!D15</f>
        <v>29</v>
      </c>
      <c r="F35">
        <f>'Personal Use'!E15</f>
        <v>344.47795264400003</v>
      </c>
      <c r="G35">
        <f>'Personal Use'!F15</f>
        <v>370</v>
      </c>
      <c r="H35">
        <f>'Personal Use'!G15</f>
        <v>181.58128917880001</v>
      </c>
      <c r="I35">
        <f>'Personal Use'!H15</f>
        <v>309</v>
      </c>
      <c r="J35">
        <f>'Personal Use'!I15</f>
        <v>525.97908932580003</v>
      </c>
      <c r="K35">
        <f>'Personal Use'!J15</f>
        <v>622</v>
      </c>
      <c r="L35">
        <f>'Personal Use'!K15</f>
        <v>1805.10899305014</v>
      </c>
      <c r="M35">
        <f>'Personal Use'!L15</f>
        <v>2736</v>
      </c>
      <c r="N35">
        <f>'Personal Use'!M15</f>
        <v>2875.3924559131401</v>
      </c>
      <c r="O35">
        <f>'Personal Use'!N15</f>
        <v>4066</v>
      </c>
    </row>
    <row r="36" spans="1:15" x14ac:dyDescent="0.2">
      <c r="A36" t="s">
        <v>361</v>
      </c>
      <c r="B36" t="s">
        <v>331</v>
      </c>
      <c r="C36">
        <v>2014</v>
      </c>
      <c r="D36">
        <f>'Personal Use'!C16</f>
        <v>16.124648542199999</v>
      </c>
      <c r="E36">
        <f>'Personal Use'!D16</f>
        <v>27</v>
      </c>
      <c r="F36">
        <f>'Personal Use'!E16</f>
        <v>196.46413390500001</v>
      </c>
      <c r="G36">
        <f>'Personal Use'!F16</f>
        <v>209</v>
      </c>
      <c r="H36">
        <f>'Personal Use'!G16</f>
        <v>102.300965657855</v>
      </c>
      <c r="I36">
        <f>'Personal Use'!H16</f>
        <v>197.25451807228899</v>
      </c>
      <c r="J36">
        <f>'Personal Use'!I16</f>
        <v>301.8891146565</v>
      </c>
      <c r="K36">
        <f>'Personal Use'!J16</f>
        <v>387</v>
      </c>
      <c r="L36">
        <f>'Personal Use'!K16</f>
        <v>2183.5697238452999</v>
      </c>
      <c r="M36">
        <f>'Personal Use'!L16</f>
        <v>3057.0954216867499</v>
      </c>
      <c r="N36">
        <f>'Personal Use'!M16</f>
        <v>2800.348586606855</v>
      </c>
      <c r="O36">
        <f>'Personal Use'!N16</f>
        <v>3877.349939759039</v>
      </c>
    </row>
    <row r="37" spans="1:15" x14ac:dyDescent="0.2">
      <c r="A37" t="s">
        <v>361</v>
      </c>
      <c r="B37" t="s">
        <v>331</v>
      </c>
      <c r="C37">
        <v>2015</v>
      </c>
      <c r="D37">
        <f>'Personal Use'!C17</f>
        <v>25.216383908600001</v>
      </c>
      <c r="E37">
        <f>'Personal Use'!D17</f>
        <v>41</v>
      </c>
      <c r="F37">
        <f>'Personal Use'!E17</f>
        <v>278.8919990357</v>
      </c>
      <c r="G37">
        <f>'Personal Use'!F17</f>
        <v>286</v>
      </c>
      <c r="H37">
        <f>'Personal Use'!G17</f>
        <v>151.3564818971</v>
      </c>
      <c r="I37">
        <f>'Personal Use'!H17</f>
        <v>285</v>
      </c>
      <c r="J37">
        <f>'Personal Use'!I17</f>
        <v>527.11594983129999</v>
      </c>
      <c r="K37">
        <f>'Personal Use'!J17</f>
        <v>778</v>
      </c>
      <c r="L37">
        <f>'Personal Use'!K17</f>
        <v>2125.1028559855399</v>
      </c>
      <c r="M37">
        <f>'Personal Use'!L17</f>
        <v>2854</v>
      </c>
      <c r="N37">
        <f>'Personal Use'!M17</f>
        <v>3107.6836706582399</v>
      </c>
      <c r="O37">
        <f>'Personal Use'!N17</f>
        <v>4244</v>
      </c>
    </row>
    <row r="38" spans="1:15" x14ac:dyDescent="0.2">
      <c r="A38" t="s">
        <v>361</v>
      </c>
      <c r="B38" t="s">
        <v>331</v>
      </c>
      <c r="C38">
        <v>2016</v>
      </c>
      <c r="D38">
        <f>'Personal Use'!C18</f>
        <v>27.544770572800001</v>
      </c>
      <c r="E38">
        <f>'Personal Use'!D18</f>
        <v>57</v>
      </c>
      <c r="F38">
        <f>'Personal Use'!E18</f>
        <v>414.86846243600002</v>
      </c>
      <c r="G38">
        <f>'Personal Use'!F18</f>
        <v>433</v>
      </c>
      <c r="H38">
        <f>'Personal Use'!G18</f>
        <v>105.3549457294</v>
      </c>
      <c r="I38">
        <f>'Personal Use'!H18</f>
        <v>193</v>
      </c>
      <c r="J38">
        <f>'Personal Use'!I18</f>
        <v>622.79437000200005</v>
      </c>
      <c r="K38">
        <f>'Personal Use'!J18</f>
        <v>906</v>
      </c>
      <c r="L38">
        <f>'Personal Use'!K18</f>
        <v>1597.8690583815701</v>
      </c>
      <c r="M38">
        <f>'Personal Use'!L18</f>
        <v>2404</v>
      </c>
      <c r="N38">
        <f>'Personal Use'!M18</f>
        <v>2768.43160712177</v>
      </c>
      <c r="O38">
        <f>'Personal Use'!N18</f>
        <v>3993</v>
      </c>
    </row>
    <row r="39" spans="1:15" x14ac:dyDescent="0.2">
      <c r="A39" t="s">
        <v>361</v>
      </c>
      <c r="B39" t="s">
        <v>331</v>
      </c>
      <c r="C39">
        <v>2017</v>
      </c>
      <c r="D39">
        <f>'Personal Use'!C19</f>
        <v>1.1112924446000001</v>
      </c>
      <c r="E39">
        <f>'Personal Use'!D19</f>
        <v>2</v>
      </c>
      <c r="F39">
        <f>'Personal Use'!E19</f>
        <v>169.16431988900001</v>
      </c>
      <c r="G39">
        <f>'Personal Use'!F19</f>
        <v>185</v>
      </c>
      <c r="H39">
        <f>'Personal Use'!G19</f>
        <v>4.8184446672450001</v>
      </c>
      <c r="I39">
        <f>'Personal Use'!H19</f>
        <v>9.5000000000000107</v>
      </c>
      <c r="J39">
        <f>'Personal Use'!I19</f>
        <v>230.54415901620001</v>
      </c>
      <c r="K39">
        <f>'Personal Use'!J19</f>
        <v>395</v>
      </c>
      <c r="L39">
        <f>'Personal Use'!K19</f>
        <v>1165.6140493498301</v>
      </c>
      <c r="M39">
        <f>'Personal Use'!L19</f>
        <v>1778</v>
      </c>
      <c r="N39">
        <f>'Personal Use'!M19</f>
        <v>1571.2522653668752</v>
      </c>
      <c r="O39">
        <f>'Personal Use'!N19</f>
        <v>2369.5</v>
      </c>
    </row>
    <row r="40" spans="1:15" x14ac:dyDescent="0.2">
      <c r="A40" t="s">
        <v>361</v>
      </c>
      <c r="B40" t="s">
        <v>331</v>
      </c>
      <c r="C40">
        <v>2018</v>
      </c>
      <c r="D40">
        <f>'Personal Use'!C20</f>
        <v>8.0361991583000005</v>
      </c>
      <c r="E40">
        <f>'Personal Use'!D20</f>
        <v>24</v>
      </c>
      <c r="F40">
        <f>'Personal Use'!E20</f>
        <v>576.89734213429995</v>
      </c>
      <c r="G40">
        <f>'Personal Use'!F20</f>
        <v>951</v>
      </c>
      <c r="H40">
        <f>'Personal Use'!G20</f>
        <v>171.35596652980001</v>
      </c>
      <c r="I40">
        <f>'Personal Use'!H20</f>
        <v>303</v>
      </c>
      <c r="J40">
        <f>'Personal Use'!I20</f>
        <v>187.74059773350001</v>
      </c>
      <c r="K40">
        <f>'Personal Use'!J20</f>
        <v>270</v>
      </c>
      <c r="L40">
        <f>'Personal Use'!K20</f>
        <v>705.92062512241205</v>
      </c>
      <c r="M40">
        <f>'Personal Use'!L20</f>
        <v>1138</v>
      </c>
      <c r="N40">
        <f>'Personal Use'!M20</f>
        <v>1649.9507306783119</v>
      </c>
      <c r="O40">
        <f>'Personal Use'!N20</f>
        <v>2686</v>
      </c>
    </row>
    <row r="41" spans="1:15" x14ac:dyDescent="0.2">
      <c r="A41" t="s">
        <v>361</v>
      </c>
      <c r="B41" t="s">
        <v>331</v>
      </c>
      <c r="C41">
        <v>2019</v>
      </c>
      <c r="D41">
        <f>'Personal Use'!C21</f>
        <v>17.319016215000001</v>
      </c>
      <c r="E41">
        <f>'Personal Use'!D21</f>
        <v>89</v>
      </c>
      <c r="F41">
        <f>'Personal Use'!E21</f>
        <v>120.8323091461</v>
      </c>
      <c r="G41">
        <f>'Personal Use'!F21</f>
        <v>149.63</v>
      </c>
      <c r="H41">
        <f>'Personal Use'!G21</f>
        <v>299.466636508877</v>
      </c>
      <c r="I41">
        <f>'Personal Use'!H21</f>
        <v>444.050652741514</v>
      </c>
      <c r="J41">
        <f>'Personal Use'!I21</f>
        <v>144.03249563070801</v>
      </c>
      <c r="K41">
        <f>'Personal Use'!J21</f>
        <v>229.48358490566</v>
      </c>
      <c r="L41">
        <f>'Personal Use'!K21</f>
        <v>1454.60264831311</v>
      </c>
      <c r="M41">
        <f>'Personal Use'!L21</f>
        <v>2341.27962912463</v>
      </c>
      <c r="N41">
        <f>'Personal Use'!M21</f>
        <v>2036.2531058137949</v>
      </c>
      <c r="O41">
        <f>'Personal Use'!N21</f>
        <v>3253.4438667718041</v>
      </c>
    </row>
    <row r="42" spans="1:15" x14ac:dyDescent="0.2">
      <c r="A42" t="s">
        <v>361</v>
      </c>
      <c r="B42" t="s">
        <v>331</v>
      </c>
      <c r="C42">
        <v>2020</v>
      </c>
      <c r="D42">
        <f>'Personal Use'!C22</f>
        <v>12.4677123415</v>
      </c>
      <c r="E42">
        <f>'Personal Use'!D22</f>
        <v>27.3</v>
      </c>
      <c r="F42">
        <f>'Personal Use'!E22</f>
        <v>4.3970705344100001</v>
      </c>
      <c r="G42">
        <f>'Personal Use'!F22</f>
        <v>4.8315000000000001</v>
      </c>
      <c r="H42">
        <f>'Personal Use'!G22</f>
        <v>202.280589854395</v>
      </c>
      <c r="I42">
        <f>'Personal Use'!H22</f>
        <v>325.97183520599202</v>
      </c>
      <c r="J42">
        <f>'Personal Use'!I22</f>
        <v>415.674500855708</v>
      </c>
      <c r="K42">
        <f>'Personal Use'!J22</f>
        <v>486.60251121076197</v>
      </c>
      <c r="L42">
        <f>'Personal Use'!K22</f>
        <v>951.35837133373298</v>
      </c>
      <c r="M42">
        <f>'Personal Use'!L22</f>
        <v>1519.6953263274299</v>
      </c>
      <c r="N42">
        <f>'Personal Use'!M22</f>
        <v>1586.178244919746</v>
      </c>
      <c r="O42">
        <f>'Personal Use'!N22</f>
        <v>2364.4011727441839</v>
      </c>
    </row>
    <row r="45" spans="1:15" ht="16" thickBot="1" x14ac:dyDescent="0.25"/>
    <row r="46" spans="1:15" x14ac:dyDescent="0.2">
      <c r="C46" s="82" t="s">
        <v>406</v>
      </c>
      <c r="D46" s="85">
        <f>SUM(D3:D12,D23:D32)</f>
        <v>555.22</v>
      </c>
      <c r="E46" s="85">
        <f t="shared" ref="E46:O46" si="0">SUM(E3:E12,E23:E32)</f>
        <v>3266</v>
      </c>
      <c r="F46" s="85">
        <f t="shared" si="0"/>
        <v>226.4256</v>
      </c>
      <c r="G46" s="85">
        <f t="shared" si="0"/>
        <v>283.03200000000004</v>
      </c>
      <c r="H46" s="85">
        <f t="shared" si="0"/>
        <v>12497.548235000002</v>
      </c>
      <c r="I46" s="85">
        <f t="shared" si="0"/>
        <v>34513.453500000003</v>
      </c>
      <c r="J46" s="85">
        <f t="shared" si="0"/>
        <v>3207.3900000000003</v>
      </c>
      <c r="K46" s="85">
        <f t="shared" si="0"/>
        <v>79146.3</v>
      </c>
      <c r="L46" s="85">
        <f t="shared" si="0"/>
        <v>1805061.5644499999</v>
      </c>
      <c r="M46" s="85">
        <f t="shared" si="0"/>
        <v>3545790.0019999999</v>
      </c>
      <c r="N46" s="85">
        <f t="shared" si="0"/>
        <v>1821548.1482850001</v>
      </c>
      <c r="O46" s="86">
        <f t="shared" si="0"/>
        <v>3662998.7875000001</v>
      </c>
    </row>
    <row r="47" spans="1:15" x14ac:dyDescent="0.2">
      <c r="C47" s="47" t="s">
        <v>405</v>
      </c>
      <c r="D47" s="9">
        <f>SUM(D13:D22,D33:D42)</f>
        <v>2061.5121457445916</v>
      </c>
      <c r="E47" s="9">
        <f t="shared" ref="E47:O47" si="1">SUM(E13:E22,E33:E42)</f>
        <v>3059.1542057074112</v>
      </c>
      <c r="F47" s="9">
        <f t="shared" si="1"/>
        <v>3737.1577082209669</v>
      </c>
      <c r="G47" s="9">
        <f t="shared" si="1"/>
        <v>5062.9469848447889</v>
      </c>
      <c r="H47" s="9">
        <f t="shared" si="1"/>
        <v>9245.6748561830991</v>
      </c>
      <c r="I47" s="9">
        <f t="shared" si="1"/>
        <v>12158.789397516344</v>
      </c>
      <c r="J47" s="9">
        <f t="shared" si="1"/>
        <v>8049.5994046391861</v>
      </c>
      <c r="K47" s="9">
        <f t="shared" si="1"/>
        <v>12875.154196174128</v>
      </c>
      <c r="L47" s="9">
        <f t="shared" si="1"/>
        <v>152962.43191857863</v>
      </c>
      <c r="M47" s="9">
        <f t="shared" si="1"/>
        <v>225775.26337852</v>
      </c>
      <c r="N47" s="9">
        <f t="shared" si="1"/>
        <v>176056.37603336645</v>
      </c>
      <c r="O47" s="87">
        <f t="shared" si="1"/>
        <v>258931.30816276267</v>
      </c>
    </row>
    <row r="48" spans="1:15" x14ac:dyDescent="0.2">
      <c r="C48" s="47" t="s">
        <v>401</v>
      </c>
      <c r="D48" s="9">
        <f>SUM(D46:D47)</f>
        <v>2616.7321457445914</v>
      </c>
      <c r="E48" s="9">
        <f t="shared" ref="E48:O48" si="2">SUM(E46:E47)</f>
        <v>6325.1542057074112</v>
      </c>
      <c r="F48" s="9">
        <f t="shared" si="2"/>
        <v>3963.583308220967</v>
      </c>
      <c r="G48" s="9">
        <f t="shared" si="2"/>
        <v>5345.978984844789</v>
      </c>
      <c r="H48" s="9">
        <f t="shared" si="2"/>
        <v>21743.223091183099</v>
      </c>
      <c r="I48" s="9">
        <f t="shared" si="2"/>
        <v>46672.242897516349</v>
      </c>
      <c r="J48" s="9">
        <f t="shared" si="2"/>
        <v>11256.989404639186</v>
      </c>
      <c r="K48" s="9">
        <f t="shared" si="2"/>
        <v>92021.454196174134</v>
      </c>
      <c r="L48" s="9">
        <f t="shared" si="2"/>
        <v>1958023.9963685786</v>
      </c>
      <c r="M48" s="9">
        <f t="shared" si="2"/>
        <v>3771565.2653785199</v>
      </c>
      <c r="N48" s="9">
        <f t="shared" si="2"/>
        <v>1997604.5243183665</v>
      </c>
      <c r="O48" s="87">
        <f t="shared" si="2"/>
        <v>3921930.0956627629</v>
      </c>
    </row>
    <row r="49" spans="2:15" x14ac:dyDescent="0.2">
      <c r="C49" s="47" t="s">
        <v>464</v>
      </c>
      <c r="D49" s="9">
        <f>D46/10</f>
        <v>55.522000000000006</v>
      </c>
      <c r="E49" s="9">
        <f t="shared" ref="E49:O49" si="3">E46/10</f>
        <v>326.60000000000002</v>
      </c>
      <c r="F49" s="9">
        <f t="shared" si="3"/>
        <v>22.64256</v>
      </c>
      <c r="G49" s="9">
        <f t="shared" si="3"/>
        <v>28.303200000000004</v>
      </c>
      <c r="H49" s="9">
        <f t="shared" si="3"/>
        <v>1249.7548235000002</v>
      </c>
      <c r="I49" s="9">
        <f t="shared" si="3"/>
        <v>3451.3453500000005</v>
      </c>
      <c r="J49" s="9">
        <f t="shared" si="3"/>
        <v>320.73900000000003</v>
      </c>
      <c r="K49" s="9">
        <f t="shared" si="3"/>
        <v>7914.63</v>
      </c>
      <c r="L49" s="9">
        <f t="shared" si="3"/>
        <v>180506.156445</v>
      </c>
      <c r="M49" s="9">
        <f t="shared" si="3"/>
        <v>354579.00020000001</v>
      </c>
      <c r="N49" s="9">
        <f t="shared" si="3"/>
        <v>182154.81482850001</v>
      </c>
      <c r="O49" s="87">
        <f t="shared" si="3"/>
        <v>366299.87875000003</v>
      </c>
    </row>
    <row r="50" spans="2:15" x14ac:dyDescent="0.2">
      <c r="C50" s="47" t="s">
        <v>465</v>
      </c>
      <c r="D50" s="9">
        <f t="shared" ref="D50:O51" si="4">D47/10</f>
        <v>206.15121457445917</v>
      </c>
      <c r="E50" s="9">
        <f t="shared" si="4"/>
        <v>305.91542057074111</v>
      </c>
      <c r="F50" s="9">
        <f t="shared" si="4"/>
        <v>373.71577082209672</v>
      </c>
      <c r="G50" s="9">
        <f t="shared" si="4"/>
        <v>506.29469848447889</v>
      </c>
      <c r="H50" s="9">
        <f t="shared" si="4"/>
        <v>924.56748561830989</v>
      </c>
      <c r="I50" s="9">
        <f t="shared" si="4"/>
        <v>1215.8789397516343</v>
      </c>
      <c r="J50" s="9">
        <f t="shared" si="4"/>
        <v>804.95994046391866</v>
      </c>
      <c r="K50" s="9">
        <f t="shared" si="4"/>
        <v>1287.5154196174128</v>
      </c>
      <c r="L50" s="9">
        <f t="shared" si="4"/>
        <v>15296.243191857862</v>
      </c>
      <c r="M50" s="9">
        <f t="shared" si="4"/>
        <v>22577.526337851999</v>
      </c>
      <c r="N50" s="9">
        <f t="shared" si="4"/>
        <v>17605.637603336647</v>
      </c>
      <c r="O50" s="87">
        <f t="shared" si="4"/>
        <v>25893.130816276265</v>
      </c>
    </row>
    <row r="51" spans="2:15" ht="16" thickBot="1" x14ac:dyDescent="0.25">
      <c r="C51" s="50" t="s">
        <v>466</v>
      </c>
      <c r="D51" s="88">
        <f t="shared" si="4"/>
        <v>261.67321457445917</v>
      </c>
      <c r="E51" s="88">
        <f t="shared" si="4"/>
        <v>632.51542057074107</v>
      </c>
      <c r="F51" s="88">
        <f t="shared" si="4"/>
        <v>396.35833082209672</v>
      </c>
      <c r="G51" s="88">
        <f t="shared" si="4"/>
        <v>534.59789848447895</v>
      </c>
      <c r="H51" s="88">
        <f t="shared" si="4"/>
        <v>2174.3223091183099</v>
      </c>
      <c r="I51" s="88">
        <f t="shared" si="4"/>
        <v>4667.2242897516353</v>
      </c>
      <c r="J51" s="88">
        <f t="shared" si="4"/>
        <v>1125.6989404639185</v>
      </c>
      <c r="K51" s="88">
        <f t="shared" si="4"/>
        <v>9202.1454196174127</v>
      </c>
      <c r="L51" s="88">
        <f t="shared" si="4"/>
        <v>195802.39963685785</v>
      </c>
      <c r="M51" s="88">
        <f t="shared" si="4"/>
        <v>377156.52653785201</v>
      </c>
      <c r="N51" s="88">
        <f t="shared" si="4"/>
        <v>199760.45243183666</v>
      </c>
      <c r="O51" s="89">
        <f t="shared" si="4"/>
        <v>392193.00956627628</v>
      </c>
    </row>
    <row r="52" spans="2:15" x14ac:dyDescent="0.2">
      <c r="C52" s="82" t="s">
        <v>470</v>
      </c>
      <c r="D52" s="94">
        <v>17.838924207115603</v>
      </c>
      <c r="E52" s="94">
        <v>17.838924207115603</v>
      </c>
      <c r="F52" s="94">
        <v>7.2482630476972245</v>
      </c>
      <c r="G52" s="94">
        <v>7.2482630476972245</v>
      </c>
      <c r="H52" s="94">
        <v>7.5127699239900023</v>
      </c>
      <c r="I52" s="94">
        <v>7.5127699239900023</v>
      </c>
      <c r="J52" s="94">
        <v>3.5039594399192802</v>
      </c>
      <c r="K52" s="94">
        <v>3.5039594399192802</v>
      </c>
      <c r="L52" s="94">
        <v>5.6698981506487991</v>
      </c>
      <c r="M52" s="94">
        <v>5.6698981506487991</v>
      </c>
      <c r="N52" s="83"/>
      <c r="O52" s="84"/>
    </row>
    <row r="53" spans="2:15" x14ac:dyDescent="0.2">
      <c r="C53" s="47" t="s">
        <v>471</v>
      </c>
      <c r="D53" s="81">
        <v>13.87795857029659</v>
      </c>
      <c r="E53" s="81">
        <v>13.87795857029659</v>
      </c>
      <c r="F53" s="81">
        <v>8.2144152616387451</v>
      </c>
      <c r="G53" s="81">
        <v>8.2144152616387451</v>
      </c>
      <c r="H53" s="81">
        <v>6.9667653078431115</v>
      </c>
      <c r="I53" s="81">
        <v>6.9667653078431115</v>
      </c>
      <c r="J53" s="81">
        <v>3.6388192662382819</v>
      </c>
      <c r="K53" s="81">
        <v>3.6388192662382819</v>
      </c>
      <c r="L53" s="81">
        <v>5.727799502761135</v>
      </c>
      <c r="M53" s="81">
        <v>5.727799502761135</v>
      </c>
      <c r="O53" s="49"/>
    </row>
    <row r="54" spans="2:15" ht="16" thickBot="1" x14ac:dyDescent="0.25">
      <c r="C54" s="50" t="s">
        <v>472</v>
      </c>
      <c r="D54" s="95">
        <v>0.55000000000000004</v>
      </c>
      <c r="E54" s="95">
        <v>0.55000000000000004</v>
      </c>
      <c r="F54" s="95">
        <v>0.6</v>
      </c>
      <c r="G54" s="95">
        <v>0.6</v>
      </c>
      <c r="H54" s="95">
        <v>0.56999999999999995</v>
      </c>
      <c r="I54" s="95">
        <v>0.56999999999999995</v>
      </c>
      <c r="J54" s="95">
        <v>0.52</v>
      </c>
      <c r="K54" s="95">
        <v>0.52</v>
      </c>
      <c r="L54" s="95">
        <v>0.53</v>
      </c>
      <c r="M54" s="95">
        <v>0.53</v>
      </c>
      <c r="N54" s="51"/>
      <c r="O54" s="52"/>
    </row>
    <row r="55" spans="2:15" x14ac:dyDescent="0.2">
      <c r="C55" s="82" t="s">
        <v>473</v>
      </c>
      <c r="D55" s="85">
        <f>D49*D52*D54</f>
        <v>544.74901240510997</v>
      </c>
      <c r="E55" s="85">
        <f t="shared" ref="E55:M55" si="5">E49*E52*E54</f>
        <v>3204.4059553241764</v>
      </c>
      <c r="F55" s="85">
        <f t="shared" si="5"/>
        <v>98.471538571960366</v>
      </c>
      <c r="G55" s="85">
        <f t="shared" si="5"/>
        <v>123.08942321495046</v>
      </c>
      <c r="H55" s="85">
        <f t="shared" si="5"/>
        <v>5351.7986567007738</v>
      </c>
      <c r="I55" s="85">
        <f t="shared" si="5"/>
        <v>14779.623219386169</v>
      </c>
      <c r="J55" s="85">
        <f t="shared" si="5"/>
        <v>584.40535233614048</v>
      </c>
      <c r="K55" s="85">
        <f t="shared" si="5"/>
        <v>14420.922101023532</v>
      </c>
      <c r="L55" s="85">
        <f t="shared" si="5"/>
        <v>542429.30698236101</v>
      </c>
      <c r="M55" s="85">
        <f t="shared" si="5"/>
        <v>1065526.2132712265</v>
      </c>
      <c r="N55" s="85">
        <f>SUM(D55,F55,H55,J55,L55)</f>
        <v>549008.73154237506</v>
      </c>
      <c r="O55" s="86">
        <f>SUM(E55,G55,I55,K55,M55)</f>
        <v>1098054.2539701753</v>
      </c>
    </row>
    <row r="56" spans="2:15" x14ac:dyDescent="0.2">
      <c r="C56" s="47" t="s">
        <v>474</v>
      </c>
      <c r="D56" s="9">
        <f>D50*D53*D54</f>
        <v>1573.5269082943669</v>
      </c>
      <c r="E56" s="9">
        <f t="shared" ref="E56:M56" si="6">E50*E53*E54</f>
        <v>2335.0148429825813</v>
      </c>
      <c r="F56" s="9">
        <f t="shared" si="6"/>
        <v>1841.9139188136712</v>
      </c>
      <c r="G56" s="9">
        <f t="shared" si="6"/>
        <v>2495.3489388706143</v>
      </c>
      <c r="H56" s="9">
        <f t="shared" si="6"/>
        <v>3671.5094696322644</v>
      </c>
      <c r="I56" s="9">
        <f t="shared" si="6"/>
        <v>4828.3236331192875</v>
      </c>
      <c r="J56" s="9">
        <f t="shared" si="6"/>
        <v>1523.1339447532664</v>
      </c>
      <c r="K56" s="9">
        <f t="shared" si="6"/>
        <v>2436.2186755310081</v>
      </c>
      <c r="L56" s="9">
        <f t="shared" si="6"/>
        <v>46435.321498671532</v>
      </c>
      <c r="M56" s="9">
        <f t="shared" si="6"/>
        <v>68539.358389708315</v>
      </c>
      <c r="N56" s="9">
        <f>SUM(D56,F56,H56,J56,L56)</f>
        <v>55045.405740165101</v>
      </c>
      <c r="O56" s="87">
        <f t="shared" ref="O56:O58" si="7">SUM(E56,G56,I56,K56,M56)</f>
        <v>80634.264480211801</v>
      </c>
    </row>
    <row r="57" spans="2:15" x14ac:dyDescent="0.2">
      <c r="C57" s="47" t="s">
        <v>475</v>
      </c>
      <c r="D57" s="9">
        <f>D55+D56</f>
        <v>2118.275920699477</v>
      </c>
      <c r="E57" s="9">
        <f t="shared" ref="E57:M57" si="8">E55+E56</f>
        <v>5539.4207983067572</v>
      </c>
      <c r="F57" s="9">
        <f t="shared" si="8"/>
        <v>1940.3854573856315</v>
      </c>
      <c r="G57" s="9">
        <f t="shared" si="8"/>
        <v>2618.4383620855647</v>
      </c>
      <c r="H57" s="9">
        <f t="shared" si="8"/>
        <v>9023.3081263330387</v>
      </c>
      <c r="I57" s="9">
        <f t="shared" si="8"/>
        <v>19607.946852505454</v>
      </c>
      <c r="J57" s="9">
        <f t="shared" si="8"/>
        <v>2107.5392970894068</v>
      </c>
      <c r="K57" s="9">
        <f t="shared" si="8"/>
        <v>16857.140776554541</v>
      </c>
      <c r="L57" s="9">
        <f t="shared" si="8"/>
        <v>588864.62848103256</v>
      </c>
      <c r="M57" s="9">
        <f t="shared" si="8"/>
        <v>1134065.5716609347</v>
      </c>
      <c r="N57" s="9">
        <f>SUM(D57,F57,H57,J57,L57)</f>
        <v>604054.13728254009</v>
      </c>
      <c r="O57" s="90">
        <f t="shared" si="7"/>
        <v>1178688.5184503871</v>
      </c>
    </row>
    <row r="58" spans="2:15" ht="16" thickBot="1" x14ac:dyDescent="0.25">
      <c r="C58" s="50" t="s">
        <v>476</v>
      </c>
      <c r="D58" s="88">
        <f>D57/(6/16)</f>
        <v>5648.7357885319389</v>
      </c>
      <c r="E58" s="88">
        <f t="shared" ref="E58:M58" si="9">E57/(6/16)</f>
        <v>14771.788795484686</v>
      </c>
      <c r="F58" s="88">
        <f t="shared" si="9"/>
        <v>5174.3612196950171</v>
      </c>
      <c r="G58" s="88">
        <f t="shared" si="9"/>
        <v>6982.5022988948394</v>
      </c>
      <c r="H58" s="88">
        <f t="shared" si="9"/>
        <v>24062.15500355477</v>
      </c>
      <c r="I58" s="88">
        <f t="shared" si="9"/>
        <v>52287.858273347876</v>
      </c>
      <c r="J58" s="88">
        <f t="shared" si="9"/>
        <v>5620.1047922384178</v>
      </c>
      <c r="K58" s="88">
        <f t="shared" si="9"/>
        <v>44952.375404145445</v>
      </c>
      <c r="L58" s="88">
        <f t="shared" si="9"/>
        <v>1570305.6759494201</v>
      </c>
      <c r="M58" s="88">
        <f t="shared" si="9"/>
        <v>3024174.8577624927</v>
      </c>
      <c r="N58" s="88">
        <f>SUM(D58,F58,H58,J58,L58)</f>
        <v>1610811.0327534403</v>
      </c>
      <c r="O58" s="91">
        <f t="shared" si="7"/>
        <v>3143169.3825343656</v>
      </c>
    </row>
    <row r="59" spans="2:15" x14ac:dyDescent="0.2">
      <c r="C59" s="82" t="s">
        <v>478</v>
      </c>
      <c r="D59" s="92">
        <f>'Resale Values'!E21</f>
        <v>40.491666667500006</v>
      </c>
      <c r="E59" s="92">
        <f>D59</f>
        <v>40.491666667500006</v>
      </c>
      <c r="F59" s="92">
        <f>'Resale Values'!E22</f>
        <v>19.991111110999999</v>
      </c>
      <c r="G59" s="92">
        <f>F59</f>
        <v>19.991111110999999</v>
      </c>
      <c r="H59" s="92">
        <f>'Resale Values'!E23</f>
        <v>21.956666666666667</v>
      </c>
      <c r="I59" s="92">
        <f>H59</f>
        <v>21.956666666666667</v>
      </c>
      <c r="J59" s="92">
        <f>'Resale Values'!E24</f>
        <v>10.491666666666667</v>
      </c>
      <c r="K59" s="92">
        <f>J59</f>
        <v>10.491666666666667</v>
      </c>
      <c r="L59" s="92">
        <f>'Resale Values'!E25</f>
        <v>27.583333333999995</v>
      </c>
      <c r="M59" s="92">
        <f>L59</f>
        <v>27.583333333999995</v>
      </c>
      <c r="N59" s="85"/>
      <c r="O59" s="86"/>
    </row>
    <row r="60" spans="2:15" ht="16" thickBot="1" x14ac:dyDescent="0.25">
      <c r="C60" s="50" t="s">
        <v>479</v>
      </c>
      <c r="D60" s="88">
        <f>D59*D57</f>
        <v>85772.522490754898</v>
      </c>
      <c r="E60" s="88">
        <f t="shared" ref="E60:M60" si="10">E59*E57</f>
        <v>224300.38049605399</v>
      </c>
      <c r="F60" s="88">
        <f t="shared" si="10"/>
        <v>38790.461276764712</v>
      </c>
      <c r="G60" s="88">
        <f t="shared" si="10"/>
        <v>52345.492233757366</v>
      </c>
      <c r="H60" s="88">
        <f t="shared" si="10"/>
        <v>198121.7687605191</v>
      </c>
      <c r="I60" s="88">
        <f t="shared" si="10"/>
        <v>430525.15305817808</v>
      </c>
      <c r="J60" s="88">
        <f t="shared" si="10"/>
        <v>22111.599791963028</v>
      </c>
      <c r="K60" s="88">
        <f t="shared" si="10"/>
        <v>176859.50198068473</v>
      </c>
      <c r="L60" s="88">
        <f t="shared" si="10"/>
        <v>16242849.335994389</v>
      </c>
      <c r="M60" s="88">
        <f t="shared" si="10"/>
        <v>31281308.68573682</v>
      </c>
      <c r="N60" s="88">
        <f>SUM(D60,F60,H60,J60,L60)</f>
        <v>16587645.688314391</v>
      </c>
      <c r="O60" s="91">
        <f>SUM(E60,G60,I60,K60,M60)</f>
        <v>32165339.213505495</v>
      </c>
    </row>
    <row r="61" spans="2:15" ht="16" thickBot="1" x14ac:dyDescent="0.25"/>
    <row r="62" spans="2:15" x14ac:dyDescent="0.2">
      <c r="B62" s="82" t="s">
        <v>484</v>
      </c>
      <c r="C62" s="103"/>
      <c r="D62" s="103" t="s">
        <v>9</v>
      </c>
      <c r="E62" s="103" t="s">
        <v>9</v>
      </c>
      <c r="F62" s="103" t="s">
        <v>53</v>
      </c>
      <c r="G62" s="103" t="s">
        <v>53</v>
      </c>
      <c r="H62" s="103" t="s">
        <v>31</v>
      </c>
      <c r="I62" s="103" t="s">
        <v>31</v>
      </c>
      <c r="J62" s="103" t="s">
        <v>42</v>
      </c>
      <c r="K62" s="103" t="s">
        <v>42</v>
      </c>
      <c r="L62" s="103" t="s">
        <v>20</v>
      </c>
      <c r="M62" s="103" t="s">
        <v>20</v>
      </c>
      <c r="N62" s="125" t="s">
        <v>403</v>
      </c>
      <c r="O62" s="118"/>
    </row>
    <row r="63" spans="2:15" x14ac:dyDescent="0.2">
      <c r="B63" s="47"/>
      <c r="C63" s="1"/>
      <c r="D63" s="1" t="s">
        <v>328</v>
      </c>
      <c r="E63" s="1" t="s">
        <v>329</v>
      </c>
      <c r="F63" s="1" t="s">
        <v>328</v>
      </c>
      <c r="G63" s="1" t="s">
        <v>329</v>
      </c>
      <c r="H63" s="1" t="s">
        <v>328</v>
      </c>
      <c r="I63" s="1" t="s">
        <v>329</v>
      </c>
      <c r="J63" s="1" t="s">
        <v>328</v>
      </c>
      <c r="K63" s="1" t="s">
        <v>329</v>
      </c>
      <c r="L63" s="1" t="s">
        <v>328</v>
      </c>
      <c r="M63" s="1" t="s">
        <v>329</v>
      </c>
      <c r="N63" s="1" t="s">
        <v>402</v>
      </c>
      <c r="O63" s="48" t="s">
        <v>362</v>
      </c>
    </row>
    <row r="64" spans="2:15" x14ac:dyDescent="0.2">
      <c r="B64" s="53"/>
      <c r="C64">
        <v>2011</v>
      </c>
      <c r="D64" s="9">
        <f>((((D3+D23)*D$52)+((D13+D33)*D$53))*D$54)/(6/16)</f>
        <v>10527.304542957208</v>
      </c>
      <c r="E64" s="9">
        <f t="shared" ref="E64:M64" si="11">((((E3+E23)*E$52)+((E13+E33)*E$53))*E$54)/(6/16)</f>
        <v>39332.093067195172</v>
      </c>
      <c r="F64" s="9">
        <f t="shared" si="11"/>
        <v>4962.0366794215379</v>
      </c>
      <c r="G64" s="9">
        <f t="shared" si="11"/>
        <v>6485.8856457143947</v>
      </c>
      <c r="H64" s="9">
        <f t="shared" si="11"/>
        <v>33162.329180840425</v>
      </c>
      <c r="I64" s="9">
        <f t="shared" si="11"/>
        <v>80503.234417331085</v>
      </c>
      <c r="J64" s="9">
        <f t="shared" si="11"/>
        <v>6933.5552108395932</v>
      </c>
      <c r="K64" s="9">
        <f t="shared" si="11"/>
        <v>29341.544612560247</v>
      </c>
      <c r="L64" s="9">
        <f t="shared" si="11"/>
        <v>2358396.6782293902</v>
      </c>
      <c r="M64" s="9">
        <f t="shared" si="11"/>
        <v>4545213.8622371769</v>
      </c>
      <c r="N64" s="9">
        <f>SUM(D64,F64,H64,J64,L64)</f>
        <v>2413981.903843449</v>
      </c>
      <c r="O64" s="87">
        <f>SUM(E64,G64,I64,K64,M64)</f>
        <v>4700876.6199799776</v>
      </c>
    </row>
    <row r="65" spans="2:15" x14ac:dyDescent="0.2">
      <c r="B65" s="53"/>
      <c r="C65">
        <v>2012</v>
      </c>
      <c r="D65" s="9">
        <f t="shared" ref="D65:M73" si="12">((((D4+D24)*D$52)+((D14+D34)*D$53))*D$54)/(6/16)</f>
        <v>4036.8925409609551</v>
      </c>
      <c r="E65" s="9">
        <f t="shared" si="12"/>
        <v>6389.3607263226068</v>
      </c>
      <c r="F65" s="9">
        <f t="shared" si="12"/>
        <v>4552.0947657100132</v>
      </c>
      <c r="G65" s="9">
        <f t="shared" si="12"/>
        <v>5123.3415326846034</v>
      </c>
      <c r="H65" s="9">
        <f t="shared" si="12"/>
        <v>27953.392306698588</v>
      </c>
      <c r="I65" s="9">
        <f t="shared" si="12"/>
        <v>67051.964823322225</v>
      </c>
      <c r="J65" s="9">
        <f t="shared" si="12"/>
        <v>5776.8598131812469</v>
      </c>
      <c r="K65" s="9">
        <f t="shared" si="12"/>
        <v>25108.535204301312</v>
      </c>
      <c r="L65" s="9">
        <f t="shared" si="12"/>
        <v>2332953.0451651523</v>
      </c>
      <c r="M65" s="9">
        <f t="shared" si="12"/>
        <v>4504791.0012382753</v>
      </c>
      <c r="N65" s="9">
        <f t="shared" ref="N65:O84" si="13">SUM(D65,F65,H65,J65,L65)</f>
        <v>2375272.2845917032</v>
      </c>
      <c r="O65" s="87">
        <f t="shared" si="13"/>
        <v>4608464.2035249062</v>
      </c>
    </row>
    <row r="66" spans="2:15" x14ac:dyDescent="0.2">
      <c r="B66" s="53"/>
      <c r="C66">
        <v>2013</v>
      </c>
      <c r="D66" s="9">
        <f t="shared" si="12"/>
        <v>7399.4441052512402</v>
      </c>
      <c r="E66" s="9">
        <f t="shared" si="12"/>
        <v>9867.5710721695978</v>
      </c>
      <c r="F66" s="9">
        <f t="shared" si="12"/>
        <v>5972.7752865411994</v>
      </c>
      <c r="G66" s="9">
        <f t="shared" si="12"/>
        <v>6720.0413985847226</v>
      </c>
      <c r="H66" s="9">
        <f t="shared" si="12"/>
        <v>17620.947071113042</v>
      </c>
      <c r="I66" s="9">
        <f t="shared" si="12"/>
        <v>50469.130111955157</v>
      </c>
      <c r="J66" s="9">
        <f t="shared" si="12"/>
        <v>3712.5676544212643</v>
      </c>
      <c r="K66" s="9">
        <f t="shared" si="12"/>
        <v>23806.335727214242</v>
      </c>
      <c r="L66" s="9">
        <f t="shared" si="12"/>
        <v>1591238.8966247726</v>
      </c>
      <c r="M66" s="9">
        <f t="shared" si="12"/>
        <v>3047494.0882818643</v>
      </c>
      <c r="N66" s="9">
        <f t="shared" si="13"/>
        <v>1625944.6307420994</v>
      </c>
      <c r="O66" s="87">
        <f t="shared" si="13"/>
        <v>3138357.1665917882</v>
      </c>
    </row>
    <row r="67" spans="2:15" x14ac:dyDescent="0.2">
      <c r="B67" s="53"/>
      <c r="C67">
        <v>2014</v>
      </c>
      <c r="D67" s="9">
        <f t="shared" si="12"/>
        <v>6064.4669025657595</v>
      </c>
      <c r="E67" s="9">
        <f t="shared" si="12"/>
        <v>8670.948514721309</v>
      </c>
      <c r="F67" s="9">
        <f t="shared" si="12"/>
        <v>5376.0569593372711</v>
      </c>
      <c r="G67" s="9">
        <f t="shared" si="12"/>
        <v>6729.2489823344595</v>
      </c>
      <c r="H67" s="9">
        <f t="shared" si="12"/>
        <v>24017.423571902898</v>
      </c>
      <c r="I67" s="9">
        <f t="shared" si="12"/>
        <v>70026.735736050861</v>
      </c>
      <c r="J67" s="9">
        <f t="shared" si="12"/>
        <v>8306.5300561820313</v>
      </c>
      <c r="K67" s="9">
        <f t="shared" si="12"/>
        <v>98923.491836536894</v>
      </c>
      <c r="L67" s="9">
        <f t="shared" si="12"/>
        <v>1704836.814125628</v>
      </c>
      <c r="M67" s="9">
        <f t="shared" si="12"/>
        <v>3255379.2469327264</v>
      </c>
      <c r="N67" s="9">
        <f t="shared" si="13"/>
        <v>1748601.2916156158</v>
      </c>
      <c r="O67" s="87">
        <f t="shared" si="13"/>
        <v>3439729.67200237</v>
      </c>
    </row>
    <row r="68" spans="2:15" x14ac:dyDescent="0.2">
      <c r="B68" s="53"/>
      <c r="C68">
        <v>2015</v>
      </c>
      <c r="D68" s="9">
        <f t="shared" si="12"/>
        <v>3043.9313801684657</v>
      </c>
      <c r="E68" s="9">
        <f t="shared" si="12"/>
        <v>5808.1589604432775</v>
      </c>
      <c r="F68" s="9">
        <f t="shared" si="12"/>
        <v>4879.1183666096813</v>
      </c>
      <c r="G68" s="9">
        <f t="shared" si="12"/>
        <v>6411.2954073348765</v>
      </c>
      <c r="H68" s="9">
        <f t="shared" si="12"/>
        <v>32957.397291882073</v>
      </c>
      <c r="I68" s="9">
        <f t="shared" si="12"/>
        <v>74996.286694098526</v>
      </c>
      <c r="J68" s="9">
        <f t="shared" si="12"/>
        <v>5731.1629776205946</v>
      </c>
      <c r="K68" s="9">
        <f t="shared" si="12"/>
        <v>27788.170929708911</v>
      </c>
      <c r="L68" s="9">
        <f t="shared" si="12"/>
        <v>1679957.4451101383</v>
      </c>
      <c r="M68" s="9">
        <f t="shared" si="12"/>
        <v>3209766.0254238141</v>
      </c>
      <c r="N68" s="9">
        <f t="shared" si="13"/>
        <v>1726569.0551264191</v>
      </c>
      <c r="O68" s="87">
        <f t="shared" si="13"/>
        <v>3324769.9374153996</v>
      </c>
    </row>
    <row r="69" spans="2:15" x14ac:dyDescent="0.2">
      <c r="B69" s="53"/>
      <c r="C69">
        <v>2016</v>
      </c>
      <c r="D69" s="9">
        <f t="shared" si="12"/>
        <v>7021.8405541334205</v>
      </c>
      <c r="E69" s="9">
        <f t="shared" si="12"/>
        <v>22668.823755895788</v>
      </c>
      <c r="F69" s="9">
        <f t="shared" si="12"/>
        <v>7737.6757475805634</v>
      </c>
      <c r="G69" s="9">
        <f t="shared" si="12"/>
        <v>9239.3114250028884</v>
      </c>
      <c r="H69" s="9">
        <f t="shared" si="12"/>
        <v>26610.000939285714</v>
      </c>
      <c r="I69" s="9">
        <f t="shared" si="12"/>
        <v>58838.235004156675</v>
      </c>
      <c r="J69" s="9">
        <f t="shared" si="12"/>
        <v>8541.5312239070681</v>
      </c>
      <c r="K69" s="9">
        <f t="shared" si="12"/>
        <v>47516.932533395659</v>
      </c>
      <c r="L69" s="9">
        <f t="shared" si="12"/>
        <v>1197908.8942493587</v>
      </c>
      <c r="M69" s="9">
        <f t="shared" si="12"/>
        <v>2280208.3660815619</v>
      </c>
      <c r="N69" s="9">
        <f t="shared" si="13"/>
        <v>1247819.9427142655</v>
      </c>
      <c r="O69" s="87">
        <f t="shared" si="13"/>
        <v>2418471.6688000131</v>
      </c>
    </row>
    <row r="70" spans="2:15" x14ac:dyDescent="0.2">
      <c r="B70" s="53"/>
      <c r="C70">
        <v>2017</v>
      </c>
      <c r="D70" s="9">
        <f t="shared" si="12"/>
        <v>9422.0247270609707</v>
      </c>
      <c r="E70" s="9">
        <f t="shared" si="12"/>
        <v>36573.802614363267</v>
      </c>
      <c r="F70" s="9">
        <f t="shared" si="12"/>
        <v>3318.6421253533445</v>
      </c>
      <c r="G70" s="9">
        <f t="shared" si="12"/>
        <v>5788.8679285429744</v>
      </c>
      <c r="H70" s="9">
        <f t="shared" si="12"/>
        <v>14718.254312049859</v>
      </c>
      <c r="I70" s="9">
        <f t="shared" si="12"/>
        <v>23832.621795502171</v>
      </c>
      <c r="J70" s="9">
        <f t="shared" si="12"/>
        <v>4011.3888674796021</v>
      </c>
      <c r="K70" s="9">
        <f t="shared" si="12"/>
        <v>43647.227760979215</v>
      </c>
      <c r="L70" s="9">
        <f t="shared" si="12"/>
        <v>1346487.129638429</v>
      </c>
      <c r="M70" s="9">
        <f t="shared" si="12"/>
        <v>2587670.0475487621</v>
      </c>
      <c r="N70" s="9">
        <f t="shared" si="13"/>
        <v>1377957.4396703728</v>
      </c>
      <c r="O70" s="87">
        <f t="shared" si="13"/>
        <v>2697512.5676481496</v>
      </c>
    </row>
    <row r="71" spans="2:15" x14ac:dyDescent="0.2">
      <c r="B71" s="53"/>
      <c r="C71">
        <v>2018</v>
      </c>
      <c r="D71" s="9">
        <f t="shared" si="12"/>
        <v>2540.6030521700386</v>
      </c>
      <c r="E71" s="9">
        <f t="shared" si="12"/>
        <v>4908.4061422647719</v>
      </c>
      <c r="F71" s="9">
        <f t="shared" si="12"/>
        <v>9651.4780780519577</v>
      </c>
      <c r="G71" s="9">
        <f t="shared" si="12"/>
        <v>15901.942654763159</v>
      </c>
      <c r="H71" s="9">
        <f t="shared" si="12"/>
        <v>20805.764603147873</v>
      </c>
      <c r="I71" s="9">
        <f t="shared" si="12"/>
        <v>29825.117086978582</v>
      </c>
      <c r="J71" s="9">
        <f t="shared" si="12"/>
        <v>4555.6925787303508</v>
      </c>
      <c r="K71" s="9">
        <f t="shared" si="12"/>
        <v>54671.093514138804</v>
      </c>
      <c r="L71" s="9">
        <f t="shared" si="12"/>
        <v>813041.29805768339</v>
      </c>
      <c r="M71" s="9">
        <f t="shared" si="12"/>
        <v>1584751.0810101579</v>
      </c>
      <c r="N71" s="9">
        <f t="shared" si="13"/>
        <v>850594.83636978362</v>
      </c>
      <c r="O71" s="87">
        <f t="shared" si="13"/>
        <v>1690057.6404083034</v>
      </c>
    </row>
    <row r="72" spans="2:15" x14ac:dyDescent="0.2">
      <c r="B72" s="53"/>
      <c r="C72">
        <v>2019</v>
      </c>
      <c r="D72" s="9">
        <f t="shared" si="12"/>
        <v>3612.9815525833769</v>
      </c>
      <c r="E72" s="9">
        <f t="shared" si="12"/>
        <v>7392.7363085676188</v>
      </c>
      <c r="F72" s="9">
        <f t="shared" si="12"/>
        <v>4093.1856412990196</v>
      </c>
      <c r="G72" s="9">
        <f t="shared" si="12"/>
        <v>5045.1877506312612</v>
      </c>
      <c r="H72" s="9">
        <f t="shared" si="12"/>
        <v>23619.880153598864</v>
      </c>
      <c r="I72" s="9">
        <f t="shared" si="12"/>
        <v>35890.400961306543</v>
      </c>
      <c r="J72" s="9">
        <f t="shared" si="12"/>
        <v>3849.1154326730521</v>
      </c>
      <c r="K72" s="9">
        <f t="shared" si="12"/>
        <v>27555.594180184798</v>
      </c>
      <c r="L72" s="9">
        <f t="shared" si="12"/>
        <v>1510122.2000265319</v>
      </c>
      <c r="M72" s="9">
        <f t="shared" si="12"/>
        <v>2939545.9956385959</v>
      </c>
      <c r="N72" s="9">
        <f t="shared" si="13"/>
        <v>1545297.3628066862</v>
      </c>
      <c r="O72" s="87">
        <f t="shared" si="13"/>
        <v>3015429.9148392859</v>
      </c>
    </row>
    <row r="73" spans="2:15" x14ac:dyDescent="0.2">
      <c r="B73" s="53"/>
      <c r="C73">
        <v>2020</v>
      </c>
      <c r="D73" s="9">
        <f t="shared" si="12"/>
        <v>2817.8685274679501</v>
      </c>
      <c r="E73" s="9">
        <f t="shared" si="12"/>
        <v>6105.9867929034517</v>
      </c>
      <c r="F73" s="9">
        <f t="shared" si="12"/>
        <v>1200.5485470455912</v>
      </c>
      <c r="G73" s="9">
        <f t="shared" si="12"/>
        <v>2379.9002633550504</v>
      </c>
      <c r="H73" s="9">
        <f t="shared" si="12"/>
        <v>19156.160605028297</v>
      </c>
      <c r="I73" s="9">
        <f t="shared" si="12"/>
        <v>31444.856102776936</v>
      </c>
      <c r="J73" s="9">
        <f t="shared" si="12"/>
        <v>4782.6441073493779</v>
      </c>
      <c r="K73" s="9">
        <f t="shared" si="12"/>
        <v>71164.827742434354</v>
      </c>
      <c r="L73" s="9">
        <f t="shared" si="12"/>
        <v>1168114.3582671175</v>
      </c>
      <c r="M73" s="9">
        <f t="shared" si="12"/>
        <v>2286928.8632319956</v>
      </c>
      <c r="N73" s="9">
        <f t="shared" si="13"/>
        <v>1196071.5800540086</v>
      </c>
      <c r="O73" s="87">
        <f t="shared" si="13"/>
        <v>2398024.4341334654</v>
      </c>
    </row>
    <row r="74" spans="2:15" ht="16" thickBot="1" x14ac:dyDescent="0.25">
      <c r="B74" s="55"/>
      <c r="C74" s="105" t="s">
        <v>365</v>
      </c>
      <c r="D74" s="88">
        <f>AVERAGE(D64:D73)</f>
        <v>5648.7357885319379</v>
      </c>
      <c r="E74" s="88">
        <f t="shared" ref="E74:O74" si="14">AVERAGE(E64:E73)</f>
        <v>14771.78879548469</v>
      </c>
      <c r="F74" s="88">
        <f t="shared" si="14"/>
        <v>5174.361219695018</v>
      </c>
      <c r="G74" s="88">
        <f t="shared" si="14"/>
        <v>6982.5022988948404</v>
      </c>
      <c r="H74" s="88">
        <f t="shared" si="14"/>
        <v>24062.155003554763</v>
      </c>
      <c r="I74" s="88">
        <f t="shared" si="14"/>
        <v>52287.858273347883</v>
      </c>
      <c r="J74" s="88">
        <f t="shared" si="14"/>
        <v>5620.1047922384187</v>
      </c>
      <c r="K74" s="88">
        <f t="shared" si="14"/>
        <v>44952.375404145445</v>
      </c>
      <c r="L74" s="88">
        <f t="shared" si="14"/>
        <v>1570305.6759494203</v>
      </c>
      <c r="M74" s="88">
        <f t="shared" si="14"/>
        <v>3024174.8577624932</v>
      </c>
      <c r="N74" s="88">
        <f t="shared" si="14"/>
        <v>1610811.0327534401</v>
      </c>
      <c r="O74" s="91">
        <f t="shared" si="14"/>
        <v>3143169.3825343656</v>
      </c>
    </row>
    <row r="75" spans="2:15" x14ac:dyDescent="0.2">
      <c r="B75" s="47" t="s">
        <v>483</v>
      </c>
      <c r="C75">
        <v>2011</v>
      </c>
      <c r="D75" s="9">
        <f>((((D3+D23)*D$52)+((D13+D33)*D$53))*D$54)*D$59</f>
        <v>159850.53992275568</v>
      </c>
      <c r="E75" s="9">
        <f t="shared" ref="E75:M75" si="15">((((E3+E23)*E$52)+((E13+E33)*E$53))*E$54)*E$59</f>
        <v>597233.25067948306</v>
      </c>
      <c r="F75" s="9">
        <f t="shared" si="15"/>
        <v>37198.734973190039</v>
      </c>
      <c r="G75" s="9">
        <f t="shared" si="15"/>
        <v>48622.522723768663</v>
      </c>
      <c r="H75" s="9">
        <f t="shared" si="15"/>
        <v>273050.32789274486</v>
      </c>
      <c r="I75" s="9">
        <f t="shared" si="15"/>
        <v>662843.50638369983</v>
      </c>
      <c r="J75" s="9">
        <f t="shared" si="15"/>
        <v>27279.206282647025</v>
      </c>
      <c r="K75" s="9">
        <f t="shared" si="15"/>
        <v>115440.63958504173</v>
      </c>
      <c r="L75" s="9">
        <f t="shared" si="15"/>
        <v>24394665.64102485</v>
      </c>
      <c r="M75" s="9">
        <f t="shared" si="15"/>
        <v>47014555.888652094</v>
      </c>
      <c r="N75" s="9">
        <f t="shared" si="13"/>
        <v>24892044.450096186</v>
      </c>
      <c r="O75" s="87">
        <f t="shared" si="13"/>
        <v>48438695.808024086</v>
      </c>
    </row>
    <row r="76" spans="2:15" x14ac:dyDescent="0.2">
      <c r="B76" s="53"/>
      <c r="C76">
        <v>2012</v>
      </c>
      <c r="D76" s="9">
        <f t="shared" ref="D76:M84" si="16">((((D4+D24)*D$52)+((D14+D34)*D$53))*D$54)*D$59</f>
        <v>61297.690177915545</v>
      </c>
      <c r="E76" s="9">
        <f t="shared" si="16"/>
        <v>97018.44928075152</v>
      </c>
      <c r="F76" s="9">
        <f t="shared" si="16"/>
        <v>34125.537093416395</v>
      </c>
      <c r="G76" s="9">
        <f t="shared" si="16"/>
        <v>38407.983689812099</v>
      </c>
      <c r="H76" s="9">
        <f t="shared" si="16"/>
        <v>230161.24390527949</v>
      </c>
      <c r="I76" s="9">
        <f t="shared" si="16"/>
        <v>552089.11536402942</v>
      </c>
      <c r="J76" s="9">
        <f t="shared" si="16"/>
        <v>22728.33282748497</v>
      </c>
      <c r="K76" s="9">
        <f t="shared" si="16"/>
        <v>98786.393194422984</v>
      </c>
      <c r="L76" s="9">
        <f t="shared" si="16"/>
        <v>24131483.06151028</v>
      </c>
      <c r="M76" s="9">
        <f t="shared" si="16"/>
        <v>46596431.920184597</v>
      </c>
      <c r="N76" s="9">
        <f t="shared" si="13"/>
        <v>24479795.865514375</v>
      </c>
      <c r="O76" s="87">
        <f t="shared" si="13"/>
        <v>47382733.861713611</v>
      </c>
    </row>
    <row r="77" spans="2:15" x14ac:dyDescent="0.2">
      <c r="B77" s="53"/>
      <c r="C77">
        <v>2013</v>
      </c>
      <c r="D77" s="9">
        <f t="shared" si="16"/>
        <v>112355.93408798664</v>
      </c>
      <c r="E77" s="9">
        <f t="shared" si="16"/>
        <v>149832.89950205886</v>
      </c>
      <c r="F77" s="9">
        <f t="shared" si="16"/>
        <v>44775.905397854985</v>
      </c>
      <c r="G77" s="9">
        <f t="shared" si="16"/>
        <v>50377.910351110135</v>
      </c>
      <c r="H77" s="9">
        <f t="shared" si="16"/>
        <v>145086.47294677701</v>
      </c>
      <c r="I77" s="9">
        <f t="shared" si="16"/>
        <v>415550.20005931077</v>
      </c>
      <c r="J77" s="9">
        <f t="shared" si="16"/>
        <v>14606.633365363663</v>
      </c>
      <c r="K77" s="9">
        <f t="shared" si="16"/>
        <v>93663.052126758528</v>
      </c>
      <c r="L77" s="9">
        <f t="shared" si="16"/>
        <v>16459377.337360298</v>
      </c>
      <c r="M77" s="9">
        <f t="shared" si="16"/>
        <v>31522516.976427402</v>
      </c>
      <c r="N77" s="9">
        <f t="shared" si="13"/>
        <v>16776202.28315828</v>
      </c>
      <c r="O77" s="87">
        <f t="shared" si="13"/>
        <v>32231941.03846664</v>
      </c>
    </row>
    <row r="78" spans="2:15" x14ac:dyDescent="0.2">
      <c r="B78" s="53"/>
      <c r="C78">
        <v>2014</v>
      </c>
      <c r="D78" s="9">
        <f t="shared" si="16"/>
        <v>92085.139625542113</v>
      </c>
      <c r="E78" s="9">
        <f t="shared" si="16"/>
        <v>131662.93385593107</v>
      </c>
      <c r="F78" s="9">
        <f t="shared" si="16"/>
        <v>40302.507004941072</v>
      </c>
      <c r="G78" s="9">
        <f t="shared" si="16"/>
        <v>50446.936537286943</v>
      </c>
      <c r="H78" s="9">
        <f t="shared" si="16"/>
        <v>197753.4613351555</v>
      </c>
      <c r="I78" s="9">
        <f t="shared" si="16"/>
        <v>576582.63536670874</v>
      </c>
      <c r="J78" s="9">
        <f t="shared" si="16"/>
        <v>32681.00418979118</v>
      </c>
      <c r="K78" s="9">
        <f t="shared" si="16"/>
        <v>389202.11319437483</v>
      </c>
      <c r="L78" s="9">
        <f t="shared" si="16"/>
        <v>17634405.79653817</v>
      </c>
      <c r="M78" s="9">
        <f t="shared" si="16"/>
        <v>33672829.086274229</v>
      </c>
      <c r="N78" s="9">
        <f t="shared" si="13"/>
        <v>17997227.9086936</v>
      </c>
      <c r="O78" s="87">
        <f t="shared" si="13"/>
        <v>34820723.70522853</v>
      </c>
    </row>
    <row r="79" spans="2:15" x14ac:dyDescent="0.2">
      <c r="B79" s="53"/>
      <c r="C79">
        <v>2015</v>
      </c>
      <c r="D79" s="9">
        <f t="shared" si="16"/>
        <v>46220.195551696779</v>
      </c>
      <c r="E79" s="9">
        <f t="shared" si="16"/>
        <v>88193.263716795947</v>
      </c>
      <c r="F79" s="9">
        <f t="shared" si="16"/>
        <v>36577.124021480617</v>
      </c>
      <c r="G79" s="9">
        <f t="shared" si="16"/>
        <v>48063.344570053312</v>
      </c>
      <c r="H79" s="9">
        <f t="shared" si="16"/>
        <v>271362.96995203401</v>
      </c>
      <c r="I79" s="9">
        <f t="shared" si="16"/>
        <v>617500.6755675337</v>
      </c>
      <c r="J79" s="9">
        <f t="shared" si="16"/>
        <v>22548.544340076027</v>
      </c>
      <c r="K79" s="9">
        <f t="shared" si="16"/>
        <v>109329.0850015735</v>
      </c>
      <c r="L79" s="9">
        <f t="shared" si="16"/>
        <v>17377059.82327798</v>
      </c>
      <c r="M79" s="9">
        <f t="shared" si="16"/>
        <v>33201017.326280013</v>
      </c>
      <c r="N79" s="9">
        <f t="shared" si="13"/>
        <v>17753768.657143269</v>
      </c>
      <c r="O79" s="87">
        <f t="shared" si="13"/>
        <v>34064103.695135966</v>
      </c>
    </row>
    <row r="80" spans="2:15" x14ac:dyDescent="0.2">
      <c r="B80" s="53"/>
      <c r="C80">
        <v>2016</v>
      </c>
      <c r="D80" s="9">
        <f t="shared" si="16"/>
        <v>106622.26016636399</v>
      </c>
      <c r="E80" s="9">
        <f t="shared" si="16"/>
        <v>344211.92072551412</v>
      </c>
      <c r="F80" s="9">
        <f t="shared" si="16"/>
        <v>58006.775854039879</v>
      </c>
      <c r="G80" s="9">
        <f t="shared" si="16"/>
        <v>69264.037982386682</v>
      </c>
      <c r="H80" s="9">
        <f t="shared" si="16"/>
        <v>219100.09523384375</v>
      </c>
      <c r="I80" s="9">
        <f t="shared" si="16"/>
        <v>484459.317465475</v>
      </c>
      <c r="J80" s="9">
        <f t="shared" si="16"/>
        <v>33605.58690905937</v>
      </c>
      <c r="K80" s="9">
        <f t="shared" si="16"/>
        <v>186949.43143607856</v>
      </c>
      <c r="L80" s="9">
        <f t="shared" si="16"/>
        <v>12390870.125191279</v>
      </c>
      <c r="M80" s="9">
        <f t="shared" si="16"/>
        <v>23585905.287226204</v>
      </c>
      <c r="N80" s="9">
        <f t="shared" si="13"/>
        <v>12808204.843354587</v>
      </c>
      <c r="O80" s="87">
        <f t="shared" si="13"/>
        <v>24670789.99483566</v>
      </c>
    </row>
    <row r="81" spans="2:15" x14ac:dyDescent="0.2">
      <c r="B81" s="53"/>
      <c r="C81">
        <v>2017</v>
      </c>
      <c r="D81" s="9">
        <f t="shared" si="16"/>
        <v>143067.55671791083</v>
      </c>
      <c r="E81" s="9">
        <f t="shared" si="16"/>
        <v>555350.33408390172</v>
      </c>
      <c r="F81" s="9">
        <f t="shared" si="16"/>
        <v>24878.75379959396</v>
      </c>
      <c r="G81" s="9">
        <f t="shared" si="16"/>
        <v>43397.213237402626</v>
      </c>
      <c r="H81" s="9">
        <f t="shared" si="16"/>
        <v>121186.42644184054</v>
      </c>
      <c r="I81" s="9">
        <f t="shared" si="16"/>
        <v>196231.84970871601</v>
      </c>
      <c r="J81" s="9">
        <f t="shared" si="16"/>
        <v>15782.30807549006</v>
      </c>
      <c r="K81" s="9">
        <f t="shared" si="16"/>
        <v>171724.5617221026</v>
      </c>
      <c r="L81" s="9">
        <f t="shared" si="16"/>
        <v>13927726.247534119</v>
      </c>
      <c r="M81" s="9">
        <f t="shared" si="16"/>
        <v>26766212.054979417</v>
      </c>
      <c r="N81" s="9">
        <f t="shared" si="13"/>
        <v>14232641.292568954</v>
      </c>
      <c r="O81" s="87">
        <f t="shared" si="13"/>
        <v>27732916.013731539</v>
      </c>
    </row>
    <row r="82" spans="2:15" x14ac:dyDescent="0.2">
      <c r="B82" s="53"/>
      <c r="C82">
        <v>2018</v>
      </c>
      <c r="D82" s="9">
        <f t="shared" si="16"/>
        <v>38577.46947108837</v>
      </c>
      <c r="E82" s="9">
        <f t="shared" si="16"/>
        <v>74531.079517985534</v>
      </c>
      <c r="F82" s="9">
        <f t="shared" si="16"/>
        <v>72353.913991394031</v>
      </c>
      <c r="G82" s="9">
        <f t="shared" si="16"/>
        <v>119211.56343454523</v>
      </c>
      <c r="H82" s="9">
        <f t="shared" si="16"/>
        <v>171309.4643011688</v>
      </c>
      <c r="I82" s="9">
        <f t="shared" si="16"/>
        <v>245572.5578149099</v>
      </c>
      <c r="J82" s="9">
        <f t="shared" si="16"/>
        <v>17923.802989442225</v>
      </c>
      <c r="K82" s="9">
        <f t="shared" si="16"/>
        <v>215096.58354468987</v>
      </c>
      <c r="L82" s="9">
        <f t="shared" si="16"/>
        <v>8409895.9269874226</v>
      </c>
      <c r="M82" s="9">
        <f t="shared" si="16"/>
        <v>16392268.994595006</v>
      </c>
      <c r="N82" s="9">
        <f t="shared" si="13"/>
        <v>8710060.5777405165</v>
      </c>
      <c r="O82" s="87">
        <f t="shared" si="13"/>
        <v>17046680.778907135</v>
      </c>
    </row>
    <row r="83" spans="2:15" x14ac:dyDescent="0.2">
      <c r="B83" s="53"/>
      <c r="C83">
        <v>2019</v>
      </c>
      <c r="D83" s="9">
        <f t="shared" si="16"/>
        <v>54860.866763637277</v>
      </c>
      <c r="E83" s="9">
        <f t="shared" si="16"/>
        <v>112254.08038771668</v>
      </c>
      <c r="F83" s="9">
        <f t="shared" si="16"/>
        <v>30685.24835743443</v>
      </c>
      <c r="G83" s="9">
        <f t="shared" si="16"/>
        <v>37822.090837022137</v>
      </c>
      <c r="H83" s="9">
        <f t="shared" si="16"/>
        <v>194480.18821469467</v>
      </c>
      <c r="I83" s="9">
        <f t="shared" si="16"/>
        <v>295512.58891515777</v>
      </c>
      <c r="J83" s="9">
        <f t="shared" si="16"/>
        <v>15143.863530423039</v>
      </c>
      <c r="K83" s="9">
        <f t="shared" si="16"/>
        <v>108414.04085266458</v>
      </c>
      <c r="L83" s="9">
        <f t="shared" si="16"/>
        <v>15620326.506901968</v>
      </c>
      <c r="M83" s="9">
        <f t="shared" si="16"/>
        <v>30405928.893121608</v>
      </c>
      <c r="N83" s="9">
        <f t="shared" si="13"/>
        <v>15915496.673768157</v>
      </c>
      <c r="O83" s="87">
        <f t="shared" si="13"/>
        <v>30959931.694114167</v>
      </c>
    </row>
    <row r="84" spans="2:15" x14ac:dyDescent="0.2">
      <c r="B84" s="53"/>
      <c r="C84">
        <v>2020</v>
      </c>
      <c r="D84" s="9">
        <f t="shared" si="16"/>
        <v>42787.572422651749</v>
      </c>
      <c r="E84" s="9">
        <f t="shared" si="16"/>
        <v>92715.593210401479</v>
      </c>
      <c r="F84" s="9">
        <f t="shared" si="16"/>
        <v>9000.1122743017586</v>
      </c>
      <c r="G84" s="9">
        <f t="shared" si="16"/>
        <v>17841.318974185862</v>
      </c>
      <c r="H84" s="9">
        <f t="shared" si="16"/>
        <v>157727.03738165172</v>
      </c>
      <c r="I84" s="9">
        <f t="shared" si="16"/>
        <v>258909.08393623959</v>
      </c>
      <c r="J84" s="9">
        <f t="shared" si="16"/>
        <v>18816.71540985271</v>
      </c>
      <c r="K84" s="9">
        <f t="shared" si="16"/>
        <v>279989.11914914014</v>
      </c>
      <c r="L84" s="9">
        <f t="shared" si="16"/>
        <v>12082682.893617524</v>
      </c>
      <c r="M84" s="9">
        <f t="shared" si="16"/>
        <v>23655420.429627683</v>
      </c>
      <c r="N84" s="9">
        <f t="shared" si="13"/>
        <v>12311014.331105981</v>
      </c>
      <c r="O84" s="87">
        <f t="shared" si="13"/>
        <v>24304875.544897649</v>
      </c>
    </row>
    <row r="85" spans="2:15" ht="16" thickBot="1" x14ac:dyDescent="0.25">
      <c r="B85" s="55"/>
      <c r="C85" s="105" t="s">
        <v>365</v>
      </c>
      <c r="D85" s="88">
        <f>AVERAGE(D75:D84)</f>
        <v>85772.522490754884</v>
      </c>
      <c r="E85" s="88">
        <f t="shared" ref="E85:O85" si="17">AVERAGE(E75:E84)</f>
        <v>224300.38049605401</v>
      </c>
      <c r="F85" s="88">
        <f t="shared" si="17"/>
        <v>38790.461276764712</v>
      </c>
      <c r="G85" s="88">
        <f t="shared" si="17"/>
        <v>52345.492233757359</v>
      </c>
      <c r="H85" s="88">
        <f t="shared" si="17"/>
        <v>198121.76876051904</v>
      </c>
      <c r="I85" s="88">
        <f t="shared" si="17"/>
        <v>430525.15305817808</v>
      </c>
      <c r="J85" s="88">
        <f t="shared" si="17"/>
        <v>22111.599791963024</v>
      </c>
      <c r="K85" s="88">
        <f t="shared" si="17"/>
        <v>176859.50198068473</v>
      </c>
      <c r="L85" s="88">
        <f t="shared" si="17"/>
        <v>16242849.335994389</v>
      </c>
      <c r="M85" s="88">
        <f t="shared" si="17"/>
        <v>31281308.685736824</v>
      </c>
      <c r="N85" s="88">
        <f t="shared" si="17"/>
        <v>16587645.688314389</v>
      </c>
      <c r="O85" s="91">
        <f t="shared" si="17"/>
        <v>32165339.213505499</v>
      </c>
    </row>
  </sheetData>
  <mergeCells count="5">
    <mergeCell ref="N1:O1"/>
    <mergeCell ref="Q1:S1"/>
    <mergeCell ref="U1:W1"/>
    <mergeCell ref="Q10:T10"/>
    <mergeCell ref="N62:O6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69E0-8247-4073-9FAF-578AB8323D7C}">
  <dimension ref="A1:G25"/>
  <sheetViews>
    <sheetView workbookViewId="0">
      <selection activeCell="F25" sqref="F25"/>
    </sheetView>
  </sheetViews>
  <sheetFormatPr baseColWidth="10" defaultColWidth="8.83203125" defaultRowHeight="15" x14ac:dyDescent="0.2"/>
  <cols>
    <col min="1" max="1" width="15.5" bestFit="1" customWidth="1"/>
    <col min="2" max="2" width="40.83203125" bestFit="1" customWidth="1"/>
    <col min="3" max="3" width="7" bestFit="1" customWidth="1"/>
    <col min="4" max="4" width="12" bestFit="1" customWidth="1"/>
    <col min="5" max="5" width="16.1640625" bestFit="1" customWidth="1"/>
    <col min="6" max="6" width="8.5" bestFit="1" customWidth="1"/>
    <col min="7" max="7" width="196" bestFit="1" customWidth="1"/>
  </cols>
  <sheetData>
    <row r="1" spans="1:7" x14ac:dyDescent="0.2">
      <c r="A1" s="70" t="s">
        <v>416</v>
      </c>
      <c r="B1" s="70" t="s">
        <v>417</v>
      </c>
      <c r="C1" s="70" t="s">
        <v>418</v>
      </c>
      <c r="D1" s="70" t="s">
        <v>419</v>
      </c>
      <c r="E1" s="70" t="s">
        <v>420</v>
      </c>
      <c r="F1" s="70" t="s">
        <v>421</v>
      </c>
      <c r="G1" s="70" t="s">
        <v>422</v>
      </c>
    </row>
    <row r="2" spans="1:7" x14ac:dyDescent="0.2">
      <c r="A2" s="71" t="s">
        <v>9</v>
      </c>
      <c r="B2" s="71" t="s">
        <v>423</v>
      </c>
      <c r="C2" s="71">
        <v>31</v>
      </c>
      <c r="D2" s="71">
        <v>1</v>
      </c>
      <c r="E2" s="71">
        <v>31</v>
      </c>
      <c r="F2" s="72">
        <v>45756</v>
      </c>
      <c r="G2" s="71" t="s">
        <v>424</v>
      </c>
    </row>
    <row r="3" spans="1:7" x14ac:dyDescent="0.2">
      <c r="A3" s="71" t="s">
        <v>9</v>
      </c>
      <c r="B3" s="71" t="s">
        <v>425</v>
      </c>
      <c r="C3" s="71">
        <v>24.98</v>
      </c>
      <c r="D3" s="71">
        <v>1</v>
      </c>
      <c r="E3" s="71">
        <v>24.98</v>
      </c>
      <c r="F3" s="72">
        <v>45756</v>
      </c>
      <c r="G3" s="71" t="s">
        <v>426</v>
      </c>
    </row>
    <row r="4" spans="1:7" x14ac:dyDescent="0.2">
      <c r="A4" s="71" t="s">
        <v>9</v>
      </c>
      <c r="B4" s="71" t="s">
        <v>427</v>
      </c>
      <c r="C4" s="71">
        <v>185.99</v>
      </c>
      <c r="D4" s="71">
        <v>3</v>
      </c>
      <c r="E4" s="71">
        <v>61.996666670000003</v>
      </c>
      <c r="F4" s="72">
        <v>45756</v>
      </c>
      <c r="G4" s="71" t="s">
        <v>428</v>
      </c>
    </row>
    <row r="5" spans="1:7" x14ac:dyDescent="0.2">
      <c r="A5" s="71" t="s">
        <v>9</v>
      </c>
      <c r="B5" s="71" t="s">
        <v>429</v>
      </c>
      <c r="C5" s="71">
        <v>219.95</v>
      </c>
      <c r="D5" s="71">
        <v>5</v>
      </c>
      <c r="E5" s="71">
        <v>43.99</v>
      </c>
      <c r="F5" s="72">
        <v>45756</v>
      </c>
      <c r="G5" s="71" t="s">
        <v>430</v>
      </c>
    </row>
    <row r="6" spans="1:7" x14ac:dyDescent="0.2">
      <c r="A6" s="71" t="s">
        <v>53</v>
      </c>
      <c r="B6" s="71" t="s">
        <v>431</v>
      </c>
      <c r="C6" s="71">
        <v>124.95</v>
      </c>
      <c r="D6" s="71">
        <v>5</v>
      </c>
      <c r="E6" s="71">
        <v>24.99</v>
      </c>
      <c r="F6" s="72">
        <v>45756</v>
      </c>
      <c r="G6" s="71" t="s">
        <v>432</v>
      </c>
    </row>
    <row r="7" spans="1:7" x14ac:dyDescent="0.2">
      <c r="A7" s="71" t="s">
        <v>53</v>
      </c>
      <c r="B7" s="71" t="s">
        <v>433</v>
      </c>
      <c r="C7" s="71">
        <v>49.98</v>
      </c>
      <c r="D7" s="71">
        <v>2</v>
      </c>
      <c r="E7" s="71">
        <v>24.99</v>
      </c>
      <c r="F7" s="72">
        <v>45756</v>
      </c>
      <c r="G7" s="71" t="s">
        <v>434</v>
      </c>
    </row>
    <row r="8" spans="1:7" x14ac:dyDescent="0.2">
      <c r="A8" s="71" t="s">
        <v>53</v>
      </c>
      <c r="B8" s="71" t="s">
        <v>435</v>
      </c>
      <c r="C8" s="71">
        <v>14.99</v>
      </c>
      <c r="D8" s="71">
        <v>1.5</v>
      </c>
      <c r="E8" s="71">
        <v>9.9933333330000007</v>
      </c>
      <c r="F8" s="72">
        <v>45756</v>
      </c>
      <c r="G8" s="71" t="s">
        <v>436</v>
      </c>
    </row>
    <row r="9" spans="1:7" x14ac:dyDescent="0.2">
      <c r="A9" s="71" t="s">
        <v>31</v>
      </c>
      <c r="B9" s="71" t="s">
        <v>437</v>
      </c>
      <c r="C9" s="71">
        <v>13.98</v>
      </c>
      <c r="D9" s="71">
        <v>1</v>
      </c>
      <c r="E9" s="71">
        <v>13.98</v>
      </c>
      <c r="F9" s="72">
        <v>45756</v>
      </c>
      <c r="G9" s="71" t="s">
        <v>426</v>
      </c>
    </row>
    <row r="10" spans="1:7" x14ac:dyDescent="0.2">
      <c r="A10" s="71" t="s">
        <v>31</v>
      </c>
      <c r="B10" s="71" t="s">
        <v>438</v>
      </c>
      <c r="C10" s="71">
        <v>149.94999999999999</v>
      </c>
      <c r="D10" s="71">
        <v>5</v>
      </c>
      <c r="E10" s="71">
        <v>29.99</v>
      </c>
      <c r="F10" s="72">
        <v>45756</v>
      </c>
      <c r="G10" s="71" t="s">
        <v>439</v>
      </c>
    </row>
    <row r="11" spans="1:7" x14ac:dyDescent="0.2">
      <c r="A11" s="71" t="s">
        <v>440</v>
      </c>
      <c r="B11" s="71" t="s">
        <v>441</v>
      </c>
      <c r="C11" s="71">
        <v>21.9</v>
      </c>
      <c r="D11" s="71">
        <v>1</v>
      </c>
      <c r="E11" s="71">
        <v>21.9</v>
      </c>
      <c r="F11" s="72">
        <v>45756</v>
      </c>
      <c r="G11" s="71" t="s">
        <v>424</v>
      </c>
    </row>
    <row r="12" spans="1:7" x14ac:dyDescent="0.2">
      <c r="A12" s="71" t="s">
        <v>42</v>
      </c>
      <c r="B12" s="71" t="s">
        <v>442</v>
      </c>
      <c r="C12" s="71">
        <v>37.979999999999997</v>
      </c>
      <c r="D12" s="71">
        <v>2</v>
      </c>
      <c r="E12" s="71">
        <v>18.989999999999998</v>
      </c>
      <c r="F12" s="72">
        <v>45756</v>
      </c>
      <c r="G12" s="71" t="s">
        <v>443</v>
      </c>
    </row>
    <row r="13" spans="1:7" x14ac:dyDescent="0.2">
      <c r="A13" s="71" t="s">
        <v>42</v>
      </c>
      <c r="B13" s="71" t="s">
        <v>444</v>
      </c>
      <c r="C13" s="71">
        <v>10.99</v>
      </c>
      <c r="D13" s="71">
        <v>2</v>
      </c>
      <c r="E13" s="71">
        <v>5.4950000000000001</v>
      </c>
      <c r="F13" s="72">
        <v>45756</v>
      </c>
      <c r="G13" s="71" t="s">
        <v>445</v>
      </c>
    </row>
    <row r="14" spans="1:7" x14ac:dyDescent="0.2">
      <c r="A14" s="71" t="s">
        <v>42</v>
      </c>
      <c r="B14" s="71" t="s">
        <v>446</v>
      </c>
      <c r="C14" s="71">
        <v>6.99</v>
      </c>
      <c r="D14" s="71">
        <v>1</v>
      </c>
      <c r="E14" s="71">
        <v>6.99</v>
      </c>
      <c r="F14" s="72">
        <v>45756</v>
      </c>
      <c r="G14" s="71" t="s">
        <v>447</v>
      </c>
    </row>
    <row r="15" spans="1:7" x14ac:dyDescent="0.2">
      <c r="A15" s="71" t="s">
        <v>20</v>
      </c>
      <c r="B15" s="71" t="s">
        <v>448</v>
      </c>
      <c r="C15" s="71">
        <v>13</v>
      </c>
      <c r="D15" s="71">
        <v>1</v>
      </c>
      <c r="E15" s="71">
        <v>13</v>
      </c>
      <c r="F15" s="72">
        <v>45756</v>
      </c>
      <c r="G15" s="71" t="s">
        <v>424</v>
      </c>
    </row>
    <row r="16" spans="1:7" x14ac:dyDescent="0.2">
      <c r="A16" s="71" t="s">
        <v>20</v>
      </c>
      <c r="B16" s="71" t="s">
        <v>449</v>
      </c>
      <c r="C16" s="71">
        <v>13.98</v>
      </c>
      <c r="D16" s="71">
        <v>1</v>
      </c>
      <c r="E16" s="71">
        <v>13.98</v>
      </c>
      <c r="F16" s="72">
        <v>45756</v>
      </c>
      <c r="G16" s="71" t="s">
        <v>426</v>
      </c>
    </row>
    <row r="17" spans="1:7" x14ac:dyDescent="0.2">
      <c r="A17" s="71" t="s">
        <v>20</v>
      </c>
      <c r="B17" s="71" t="s">
        <v>450</v>
      </c>
      <c r="C17" s="71">
        <v>164.99</v>
      </c>
      <c r="D17" s="71">
        <v>3</v>
      </c>
      <c r="E17" s="71">
        <v>54.996666670000003</v>
      </c>
      <c r="F17" s="72">
        <v>45756</v>
      </c>
      <c r="G17" s="71" t="s">
        <v>451</v>
      </c>
    </row>
    <row r="18" spans="1:7" x14ac:dyDescent="0.2">
      <c r="A18" s="71" t="s">
        <v>20</v>
      </c>
      <c r="B18" s="71" t="s">
        <v>452</v>
      </c>
      <c r="C18" s="71">
        <v>149.94999999999999</v>
      </c>
      <c r="D18" s="71">
        <v>5</v>
      </c>
      <c r="E18" s="71">
        <v>29.99</v>
      </c>
      <c r="F18" s="72">
        <v>45756</v>
      </c>
      <c r="G18" s="71" t="s">
        <v>453</v>
      </c>
    </row>
    <row r="19" spans="1:7" x14ac:dyDescent="0.2">
      <c r="A19" s="71" t="s">
        <v>20</v>
      </c>
      <c r="B19" s="71" t="s">
        <v>454</v>
      </c>
      <c r="C19" s="71">
        <v>25.95</v>
      </c>
      <c r="D19" s="71">
        <v>1</v>
      </c>
      <c r="E19" s="71">
        <v>25.95</v>
      </c>
      <c r="F19" s="72">
        <v>45756</v>
      </c>
      <c r="G19" s="71" t="s">
        <v>455</v>
      </c>
    </row>
    <row r="20" spans="1:7" ht="16" thickBot="1" x14ac:dyDescent="0.25"/>
    <row r="21" spans="1:7" x14ac:dyDescent="0.2">
      <c r="D21" s="96" t="s">
        <v>9</v>
      </c>
      <c r="E21" s="84">
        <f>AVERAGE(E2:E5)</f>
        <v>40.491666667500006</v>
      </c>
    </row>
    <row r="22" spans="1:7" x14ac:dyDescent="0.2">
      <c r="D22" s="97" t="s">
        <v>53</v>
      </c>
      <c r="E22" s="49">
        <f>AVERAGE(E6:E8)</f>
        <v>19.991111110999999</v>
      </c>
    </row>
    <row r="23" spans="1:7" x14ac:dyDescent="0.2">
      <c r="D23" s="97" t="s">
        <v>31</v>
      </c>
      <c r="E23" s="49">
        <f>AVERAGE(E9:E11)</f>
        <v>21.956666666666667</v>
      </c>
    </row>
    <row r="24" spans="1:7" x14ac:dyDescent="0.2">
      <c r="D24" s="97" t="s">
        <v>42</v>
      </c>
      <c r="E24" s="49">
        <f>AVERAGE(E12:E14)</f>
        <v>10.491666666666667</v>
      </c>
    </row>
    <row r="25" spans="1:7" ht="16" thickBot="1" x14ac:dyDescent="0.25">
      <c r="D25" s="98" t="s">
        <v>20</v>
      </c>
      <c r="E25" s="52">
        <f>AVERAGE(E15:E19)</f>
        <v>27.583333333999995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E2B2-F579-4A37-919C-2120D7E8EE84}">
  <dimension ref="B1:F13"/>
  <sheetViews>
    <sheetView workbookViewId="0">
      <selection activeCell="M26" sqref="M26"/>
    </sheetView>
  </sheetViews>
  <sheetFormatPr baseColWidth="10" defaultColWidth="8.83203125" defaultRowHeight="15" x14ac:dyDescent="0.2"/>
  <cols>
    <col min="1" max="1" width="2" customWidth="1"/>
    <col min="2" max="2" width="12.5" bestFit="1" customWidth="1"/>
    <col min="3" max="3" width="21.83203125" style="54" bestFit="1" customWidth="1"/>
    <col min="4" max="4" width="15.6640625" style="54" bestFit="1" customWidth="1"/>
  </cols>
  <sheetData>
    <row r="1" spans="2:6" ht="25" thickBot="1" x14ac:dyDescent="0.35">
      <c r="C1" s="60" t="s">
        <v>407</v>
      </c>
      <c r="D1" s="59"/>
      <c r="E1" s="54"/>
    </row>
    <row r="2" spans="2:6" x14ac:dyDescent="0.2">
      <c r="B2" s="56" t="s">
        <v>2</v>
      </c>
      <c r="C2" s="57" t="s">
        <v>408</v>
      </c>
      <c r="D2" s="58" t="s">
        <v>409</v>
      </c>
      <c r="F2" t="s">
        <v>412</v>
      </c>
    </row>
    <row r="3" spans="2:6" x14ac:dyDescent="0.2">
      <c r="B3" s="53" t="s">
        <v>360</v>
      </c>
      <c r="C3" s="61">
        <f>GETPIVOTDATA("# Forest Fish",Commercial!$P$14,"Forest","Tongass")/10</f>
        <v>36800706.795099989</v>
      </c>
      <c r="D3" s="62" t="s">
        <v>410</v>
      </c>
    </row>
    <row r="4" spans="2:6" x14ac:dyDescent="0.2">
      <c r="B4" s="53" t="s">
        <v>8</v>
      </c>
      <c r="C4" s="61">
        <f>Sport!M36/10</f>
        <v>279406.42914863757</v>
      </c>
      <c r="D4" s="62">
        <f>Sport!N36/10</f>
        <v>284712.81046575576</v>
      </c>
    </row>
    <row r="5" spans="2:6" x14ac:dyDescent="0.2">
      <c r="B5" s="53" t="s">
        <v>361</v>
      </c>
      <c r="C5" s="61">
        <f>'Personal Use'!M36/10</f>
        <v>2443.7524743436388</v>
      </c>
      <c r="D5" s="62">
        <f>'Personal Use'!N36/10</f>
        <v>3528.0371636057234</v>
      </c>
    </row>
    <row r="6" spans="2:6" ht="16" thickBot="1" x14ac:dyDescent="0.25">
      <c r="B6" s="55" t="s">
        <v>68</v>
      </c>
      <c r="C6" s="63">
        <f>Subsistence!M36/10</f>
        <v>15161.885128993008</v>
      </c>
      <c r="D6" s="64">
        <f>Subsistence!N36/10</f>
        <v>22365.093652670545</v>
      </c>
    </row>
    <row r="8" spans="2:6" ht="25" thickBot="1" x14ac:dyDescent="0.35">
      <c r="C8" s="60" t="s">
        <v>411</v>
      </c>
      <c r="D8" s="59"/>
    </row>
    <row r="9" spans="2:6" x14ac:dyDescent="0.2">
      <c r="B9" s="56" t="s">
        <v>2</v>
      </c>
      <c r="C9" s="57" t="s">
        <v>408</v>
      </c>
      <c r="D9" s="58" t="s">
        <v>409</v>
      </c>
    </row>
    <row r="10" spans="2:6" x14ac:dyDescent="0.2">
      <c r="B10" s="53" t="s">
        <v>360</v>
      </c>
      <c r="C10" s="61">
        <f>GETPIVOTDATA("# Forest Fish",Commercial!$P$14,"Forest","Chugach")/10</f>
        <v>7917987.5898400024</v>
      </c>
      <c r="D10" s="62" t="s">
        <v>410</v>
      </c>
    </row>
    <row r="11" spans="2:6" x14ac:dyDescent="0.2">
      <c r="B11" s="53" t="s">
        <v>8</v>
      </c>
      <c r="C11" s="61">
        <f>Sport!M35/10</f>
        <v>271876.55731316668</v>
      </c>
      <c r="D11" s="62">
        <f>Sport!N35/10</f>
        <v>500940.99438333337</v>
      </c>
    </row>
    <row r="12" spans="2:6" x14ac:dyDescent="0.2">
      <c r="B12" s="53" t="s">
        <v>361</v>
      </c>
      <c r="C12" s="61">
        <f>'Personal Use'!M35/10</f>
        <v>178439.38400000002</v>
      </c>
      <c r="D12" s="62">
        <f>'Personal Use'!N35/10</f>
        <v>358939.2</v>
      </c>
    </row>
    <row r="13" spans="2:6" ht="16" thickBot="1" x14ac:dyDescent="0.25">
      <c r="B13" s="55" t="s">
        <v>68</v>
      </c>
      <c r="C13" s="63">
        <f>Subsistence!M35/10</f>
        <v>3715.4308285000006</v>
      </c>
      <c r="D13" s="64">
        <f>Subsistence!N35/10</f>
        <v>7360.6787500000009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Harvest # Summary</vt:lpstr>
      <vt:lpstr>Harvest Statistics</vt:lpstr>
      <vt:lpstr>CombinedRAW</vt:lpstr>
      <vt:lpstr>ChugachRAW</vt:lpstr>
      <vt:lpstr>TongassRAW</vt:lpstr>
      <vt:lpstr>Commercial exvessel</vt:lpstr>
      <vt:lpstr>commercial_cpi</vt:lpstr>
      <vt:lpstr>Commercial</vt:lpstr>
      <vt:lpstr>Sport</vt:lpstr>
      <vt:lpstr>Subsistence</vt:lpstr>
      <vt:lpstr>Personal Use</vt:lpstr>
      <vt:lpstr>Personal Use + Subsistence</vt:lpstr>
      <vt:lpstr>Resale Values</vt:lpstr>
      <vt:lpstr>Forest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Bellmore, James - FS, AK</dc:creator>
  <cp:lastModifiedBy>Marie Gutgesell</cp:lastModifiedBy>
  <dcterms:created xsi:type="dcterms:W3CDTF">2025-05-16T17:17:53Z</dcterms:created>
  <dcterms:modified xsi:type="dcterms:W3CDTF">2025-12-05T06:39:12Z</dcterms:modified>
</cp:coreProperties>
</file>